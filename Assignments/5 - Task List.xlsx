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9445cf6952b5880/!UC/Classes/2025Fall/Senior Design/"/>
    </mc:Choice>
  </mc:AlternateContent>
  <xr:revisionPtr revIDLastSave="23" documentId="13_ncr:1_{AD10E3D0-067F-4123-8B1D-7623A5A7D4CF}" xr6:coauthVersionLast="47" xr6:coauthVersionMax="47" xr10:uidLastSave="{83336CD7-7A8B-4E96-A8B0-1600F655CFB0}"/>
  <bookViews>
    <workbookView xWindow="-108" yWindow="-108" windowWidth="23256" windowHeight="13896" xr2:uid="{00000000-000D-0000-FFFF-FFFF00000000}"/>
  </bookViews>
  <sheets>
    <sheet name="Task Tracker" sheetId="1" r:id="rId1"/>
    <sheet name="Sheet1" sheetId="7" r:id="rId2"/>
    <sheet name="Controls - Task Tracker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I2" i="1" s="1"/>
  <c r="I8" i="1" l="1"/>
  <c r="I9" i="1"/>
  <c r="I10" i="1"/>
  <c r="I11" i="1"/>
  <c r="I7" i="1"/>
  <c r="C9" i="1"/>
  <c r="C10" i="1"/>
  <c r="C11" i="1"/>
  <c r="C8" i="1"/>
  <c r="F8" i="1"/>
  <c r="G22" i="1"/>
  <c r="G25" i="1"/>
  <c r="G29" i="1"/>
  <c r="G30" i="1"/>
  <c r="G26" i="1"/>
  <c r="G20" i="1"/>
  <c r="G21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23" i="1"/>
  <c r="G24" i="1"/>
  <c r="G31" i="1"/>
  <c r="G27" i="1"/>
  <c r="G28" i="1"/>
  <c r="F13" i="1"/>
  <c r="F12" i="1"/>
  <c r="F11" i="1"/>
  <c r="F10" i="1"/>
  <c r="F9" i="1"/>
  <c r="F2" i="1"/>
  <c r="C12" i="1"/>
  <c r="C13" i="1"/>
  <c r="B14" i="1"/>
  <c r="C5" i="1"/>
</calcChain>
</file>

<file path=xl/sharedStrings.xml><?xml version="1.0" encoding="utf-8"?>
<sst xmlns="http://schemas.openxmlformats.org/spreadsheetml/2006/main" count="94" uniqueCount="64">
  <si>
    <t>To-Do List</t>
  </si>
  <si>
    <t>Total Tasks</t>
  </si>
  <si>
    <t>Completed</t>
  </si>
  <si>
    <t>Date:</t>
  </si>
  <si>
    <t>Cadre</t>
  </si>
  <si>
    <t>Complete</t>
  </si>
  <si>
    <t>Top Two</t>
  </si>
  <si>
    <t>Urgent</t>
  </si>
  <si>
    <t>Working</t>
  </si>
  <si>
    <t>COS</t>
  </si>
  <si>
    <t>High</t>
  </si>
  <si>
    <t>OG</t>
  </si>
  <si>
    <t>Medium</t>
  </si>
  <si>
    <t>CCE</t>
  </si>
  <si>
    <t>Low</t>
  </si>
  <si>
    <t>S&amp;E</t>
  </si>
  <si>
    <t>IG</t>
  </si>
  <si>
    <t>CC</t>
  </si>
  <si>
    <t>Task</t>
  </si>
  <si>
    <t>Category</t>
  </si>
  <si>
    <t>Status</t>
  </si>
  <si>
    <t>Due Date</t>
  </si>
  <si>
    <t>Days Left</t>
  </si>
  <si>
    <t>Time Spent (hrs)</t>
  </si>
  <si>
    <t>Notes</t>
  </si>
  <si>
    <t>Effort</t>
  </si>
  <si>
    <t>Not Started</t>
  </si>
  <si>
    <t>Start Date</t>
  </si>
  <si>
    <t>End Date</t>
  </si>
  <si>
    <t>Milestone</t>
  </si>
  <si>
    <t>Research AFWI mechanics</t>
  </si>
  <si>
    <t>Research Complete</t>
  </si>
  <si>
    <t>Research digital adaptations</t>
  </si>
  <si>
    <t>Game flow diagrams &amp; states</t>
  </si>
  <si>
    <t>Game Design Documentation</t>
  </si>
  <si>
    <t>Multiplayer framework research</t>
  </si>
  <si>
    <t>Software architecture planning</t>
  </si>
  <si>
    <t>Data structure design</t>
  </si>
  <si>
    <t>Prototype UI/Data Structures</t>
  </si>
  <si>
    <t>UI prototype</t>
  </si>
  <si>
    <t>Core game loop &amp; rule engine</t>
  </si>
  <si>
    <t>Multiplayer Implementation</t>
  </si>
  <si>
    <t>Multiplayer/networking</t>
  </si>
  <si>
    <t>Testing mechanics &amp; bug fixes</t>
  </si>
  <si>
    <t>Testing &amp; Documentation</t>
  </si>
  <si>
    <t>Documentation (rules, tutorial)</t>
  </si>
  <si>
    <t>Final presentation prep</t>
  </si>
  <si>
    <t>Senior Design Showcase</t>
  </si>
  <si>
    <t>Research Game Dev</t>
  </si>
  <si>
    <t>ABET Concerns</t>
  </si>
  <si>
    <t>Technical Specifications</t>
  </si>
  <si>
    <t>Game Flow Diagrams / State Design</t>
  </si>
  <si>
    <t>UI Mockups + Architecture</t>
  </si>
  <si>
    <t>Core Architecture Build</t>
  </si>
  <si>
    <t>Thanksgiving break push</t>
  </si>
  <si>
    <t>Game loop, rule engine. Winter Break</t>
  </si>
  <si>
    <t>Data Structures &amp; Unit Definitions</t>
  </si>
  <si>
    <t>UI Prototype / Feedback</t>
  </si>
  <si>
    <t>Multiplayer + Networking Implementation</t>
  </si>
  <si>
    <t>Testing</t>
  </si>
  <si>
    <t>Documentation</t>
  </si>
  <si>
    <t>Showcase Prep</t>
  </si>
  <si>
    <t>Effort (hrs)</t>
  </si>
  <si>
    <t>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</si>
</sst>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ddd\,\ m/d/yy"/>
  </numFmts>
  <fonts count="12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9"/>
      <color theme="1"/>
      <name val="Tw Cen MT"/>
      <family val="2"/>
      <scheme val="minor"/>
    </font>
    <font>
      <b/>
      <sz val="9"/>
      <color theme="1"/>
      <name val="Tw Cen MT"/>
      <family val="2"/>
      <scheme val="minor"/>
    </font>
    <font>
      <sz val="9"/>
      <name val="Tw Cen MT"/>
      <family val="2"/>
      <scheme val="minor"/>
    </font>
    <font>
      <b/>
      <sz val="9"/>
      <name val="Tw Cen MT"/>
      <family val="2"/>
      <scheme val="minor"/>
    </font>
    <font>
      <sz val="8"/>
      <name val="Tw Cen MT"/>
      <family val="2"/>
      <scheme val="minor"/>
    </font>
    <font>
      <b/>
      <sz val="18"/>
      <color theme="1"/>
      <name val="Tw Cen MT"/>
      <family val="2"/>
      <scheme val="minor"/>
    </font>
    <font>
      <sz val="12"/>
      <color theme="1"/>
      <name val="Tw Cen MT"/>
      <family val="2"/>
      <scheme val="minor"/>
    </font>
    <font>
      <sz val="9"/>
      <color theme="0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9"/>
      <color theme="1"/>
      <name val="Tw Cen MT (Body)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9" fontId="9" fillId="9" borderId="0" xfId="1" applyFont="1" applyFill="1" applyBorder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2" fillId="9" borderId="0" xfId="0" applyFont="1" applyFill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4" fillId="9" borderId="0" xfId="0" applyFont="1" applyFill="1" applyAlignment="1">
      <alignment horizontal="center" vertical="top" wrapText="1"/>
    </xf>
    <xf numFmtId="0" fontId="4" fillId="9" borderId="0" xfId="0" applyFont="1" applyFill="1" applyAlignment="1">
      <alignment vertical="top" wrapText="1"/>
    </xf>
    <xf numFmtId="0" fontId="2" fillId="9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vertical="center" wrapText="1"/>
    </xf>
    <xf numFmtId="164" fontId="8" fillId="2" borderId="0" xfId="0" applyNumberFormat="1" applyFont="1" applyFill="1" applyAlignment="1">
      <alignment vertical="center" wrapText="1"/>
    </xf>
    <xf numFmtId="0" fontId="8" fillId="2" borderId="0" xfId="0" applyFont="1" applyFill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2" fillId="8" borderId="4" xfId="0" applyNumberFormat="1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9" borderId="2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165" fontId="2" fillId="9" borderId="4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5" fontId="2" fillId="9" borderId="1" xfId="0" applyNumberFormat="1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top" wrapText="1"/>
    </xf>
    <xf numFmtId="0" fontId="5" fillId="5" borderId="3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top" wrapText="1"/>
    </xf>
    <xf numFmtId="0" fontId="5" fillId="7" borderId="3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2" fillId="9" borderId="6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" fontId="2" fillId="8" borderId="6" xfId="0" applyNumberFormat="1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9" fillId="9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24"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 tint="-0.24994659260841701"/>
        </patternFill>
      </fill>
    </dxf>
    <dxf>
      <font>
        <strike val="0"/>
        <color theme="0" tint="-0.24994659260841701"/>
      </font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Tw Cen MT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w Cen MT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Tw Cen MT"/>
        <family val="2"/>
        <scheme val="minor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w Cen MT"/>
        <family val="2"/>
        <scheme val="minor"/>
      </font>
      <numFmt numFmtId="165" formatCode="ddd\,\ m/d/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w Cen MT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w Cen MT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w Cen MT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w Cen MT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w Cen MT"/>
        <family val="2"/>
        <scheme val="minor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theme="1"/>
        <name val="Tw Cen MT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FF99FF"/>
      <color rgb="FFFFFFCC"/>
      <color rgb="FFCCECFF"/>
      <color rgb="FF99CCFF"/>
      <color rgb="FF66C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FB-48D8-9BB1-21C241DA9B50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FB-48D8-9BB1-21C241DA9B50}"/>
              </c:ext>
            </c:extLst>
          </c:dPt>
          <c:val>
            <c:numRef>
              <c:f>'Task Tracker'!$I$2:$I$3</c:f>
              <c:numCache>
                <c:formatCode>0%</c:formatCode>
                <c:ptCount val="2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FB-48D8-9BB1-21C241DA9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'Task Tracker'!$B$8:$B$11</c:f>
              <c:strCache>
                <c:ptCount val="4"/>
                <c:pt idx="0">
                  <c:v>Complete</c:v>
                </c:pt>
                <c:pt idx="1">
                  <c:v>Working</c:v>
                </c:pt>
                <c:pt idx="2">
                  <c:v>Started</c:v>
                </c:pt>
                <c:pt idx="3">
                  <c:v>Not Started</c:v>
                </c:pt>
              </c:strCache>
            </c:strRef>
          </c:cat>
          <c:val>
            <c:numRef>
              <c:f>'Task Tracker'!$C$8:$C$11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F-4B39-BF4F-2F9A420CC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307327"/>
        <c:axId val="208309727"/>
      </c:barChart>
      <c:catAx>
        <c:axId val="20830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09727"/>
        <c:crosses val="autoZero"/>
        <c:auto val="1"/>
        <c:lblAlgn val="ctr"/>
        <c:lblOffset val="100"/>
        <c:noMultiLvlLbl val="0"/>
      </c:catAx>
      <c:valAx>
        <c:axId val="20830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0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Tasks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28-4B29-86D5-92FB34B4D1A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F28-4B29-86D5-92FB34B4D1A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28-4B29-86D5-92FB34B4D1A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F28-4B29-86D5-92FB34B4D1A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F28-4B29-86D5-92FB34B4D1A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F28-4B29-86D5-92FB34B4D1AA}"/>
              </c:ext>
            </c:extLst>
          </c:dPt>
          <c:cat>
            <c:strRef>
              <c:f>'Task Tracker'!$E$8:$E$13</c:f>
              <c:strCache>
                <c:ptCount val="6"/>
                <c:pt idx="0">
                  <c:v>Top Two</c:v>
                </c:pt>
                <c:pt idx="1">
                  <c:v>COS</c:v>
                </c:pt>
                <c:pt idx="2">
                  <c:v>OG</c:v>
                </c:pt>
                <c:pt idx="3">
                  <c:v>CCE</c:v>
                </c:pt>
                <c:pt idx="4">
                  <c:v>S&amp;E</c:v>
                </c:pt>
                <c:pt idx="5">
                  <c:v>IG</c:v>
                </c:pt>
              </c:strCache>
            </c:strRef>
          </c:cat>
          <c:val>
            <c:numRef>
              <c:f>'Task Tracker'!$F$8:$F$13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8-4B29-86D5-92FB34B4D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5048624"/>
        <c:axId val="1705047664"/>
      </c:barChart>
      <c:catAx>
        <c:axId val="170504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047664"/>
        <c:crosses val="autoZero"/>
        <c:auto val="1"/>
        <c:lblAlgn val="ctr"/>
        <c:lblOffset val="100"/>
        <c:noMultiLvlLbl val="0"/>
      </c:catAx>
      <c:valAx>
        <c:axId val="170504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04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38-43B6-810B-8174829A7D0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538-43B6-810B-8174829A7D00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38-43B6-810B-8174829A7D00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538-43B6-810B-8174829A7D00}"/>
              </c:ext>
            </c:extLst>
          </c:dPt>
          <c:dPt>
            <c:idx val="4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38-43B6-810B-8174829A7D00}"/>
              </c:ext>
            </c:extLst>
          </c:dPt>
          <c:cat>
            <c:strRef>
              <c:f>'Task Tracker'!$H$7:$H$11</c:f>
              <c:strCache>
                <c:ptCount val="5"/>
                <c:pt idx="0">
                  <c:v>Cadre</c:v>
                </c:pt>
                <c:pt idx="1">
                  <c:v>Urgent</c:v>
                </c:pt>
                <c:pt idx="2">
                  <c:v>High</c:v>
                </c:pt>
                <c:pt idx="3">
                  <c:v>Medium</c:v>
                </c:pt>
                <c:pt idx="4">
                  <c:v>Low</c:v>
                </c:pt>
              </c:strCache>
            </c:strRef>
          </c:cat>
          <c:val>
            <c:numRef>
              <c:f>'Task Tracker'!$I$7:$I$11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8-43B6-810B-8174829A7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2375232</xdr:colOff>
      <xdr:row>3</xdr:row>
      <xdr:rowOff>38645</xdr:rowOff>
    </xdr:from>
    <xdr:to>
      <xdr:col>8</xdr:col>
      <xdr:colOff>5666436</xdr:colOff>
      <xdr:row>16</xdr:row>
      <xdr:rowOff>90715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A065A6-D36B-4E24-8E34-3FF061938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400050</xdr:colOff>
      <xdr:row>5</xdr:row>
      <xdr:rowOff>152400</xdr:rowOff>
    </xdr:from>
    <xdr:to>
      <xdr:col>3</xdr:col>
      <xdr:colOff>45720</xdr:colOff>
      <xdr:row>16</xdr:row>
      <xdr:rowOff>144780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64EA6C87-91FB-3B84-0706-CE6BD6738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419528</xdr:colOff>
      <xdr:row>4</xdr:row>
      <xdr:rowOff>175260</xdr:rowOff>
    </xdr:from>
    <xdr:to>
      <xdr:col>6</xdr:col>
      <xdr:colOff>359596</xdr:colOff>
      <xdr:row>16</xdr:row>
      <xdr:rowOff>128427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96FDD1-FFC8-05AF-09C2-A5A45E4E8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8847</xdr:colOff>
      <xdr:row>4</xdr:row>
      <xdr:rowOff>185983</xdr:rowOff>
    </xdr:from>
    <xdr:to>
      <xdr:col>8</xdr:col>
      <xdr:colOff>1719943</xdr:colOff>
      <xdr:row>16</xdr:row>
      <xdr:rowOff>131138</xdr:rowOff>
    </xdr:to>
    <xdr:graphicFrame macro="">
      <xdr:nvGraphicFramePr>
        <xdr:cNvPr id="30" name="Chart 6">
          <a:extLst>
            <a:ext uri="{FF2B5EF4-FFF2-40B4-BE49-F238E27FC236}">
              <a16:creationId xmlns:a16="http://schemas.microsoft.com/office/drawing/2014/main" id="{3FA85DFB-0E5C-B513-5C47-9E3C11322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0.36552</cdr:x>
      <cdr:y>0.49028</cdr:y>
    </cdr:from>
    <cdr:to>
      <cdr:x>0.64138</cdr:x>
      <cdr:y>0.82361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F3C7C9-D166-E105-2066-9E857CC50612}"/>
            </a:ext>
          </a:extLst>
        </cdr:cNvPr>
        <cdr:cNvSpPr txBox="1"/>
      </cdr:nvSpPr>
      <cdr:spPr>
        <a:xfrm xmlns:a="http://schemas.openxmlformats.org/drawingml/2006/main">
          <a:off x="1211580" y="134493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0.35172</cdr:x>
      <cdr:y>0.38472</cdr:y>
    </cdr:from>
    <cdr:to>
      <cdr:x>0.64598</cdr:x>
      <cdr:y>0.72639</cdr:y>
    </cdr:to>
    <cdr:sp macro="" textlink="'Task Tracker'!$I$2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4FC9A04-2212-6A81-5F93-AC303314D209}"/>
            </a:ext>
          </a:extLst>
        </cdr:cNvPr>
        <cdr:cNvSpPr txBox="1"/>
      </cdr:nvSpPr>
      <cdr:spPr>
        <a:xfrm xmlns:a="http://schemas.openxmlformats.org/drawingml/2006/main">
          <a:off x="1165860" y="1055370"/>
          <a:ext cx="975360" cy="9372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4F3D455-1D96-45B0-922B-7292409A24DF}" type="TxLink">
            <a:rPr lang="en-US" sz="4400" b="0" i="0" u="none" strike="noStrike" kern="1200">
              <a:solidFill>
                <a:schemeClr val="accent2"/>
              </a:solidFill>
              <a:latin typeface="Corbel"/>
            </a:rPr>
            <a:pPr/>
            <a:t>25%</a:t>
          </a:fld>
          <a:endParaRPr lang="en-US" sz="6000" kern="1200">
            <a:solidFill>
              <a:schemeClr val="accent2"/>
            </a:solidFill>
          </a:endParaRPr>
        </a:p>
      </cdr:txBody>
    </cdr:sp>
  </cdr:relSizeAnchor>
</c:userShape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56996B-FE53-4E8B-BE15-CB1101626F8A}" name="Table1" displayName="Table1" ref="B19:I120" totalsRowShown="0" headerRowDxfId="23" dataDxfId="21" headerRowBorderDxfId="22" tableBorderDxfId="20" totalsRowBorderDxfId="19">
  <autoFilter ref="B19:I120" xr:uid="{6D56996B-FE53-4E8B-BE15-CB1101626F8A}"/>
  <sortState xmlns:xlrd2="http://schemas.microsoft.com/office/spreadsheetml/2017/richdata2" ref="B20:I120">
    <sortCondition ref="F19:F120"/>
  </sortState>
  <tableColumns count="8">
    <tableColumn id="2" xr3:uid="{503FA475-B552-4A62-BED1-5EBB0710DCF8}" name="CC" dataDxfId="18"/>
    <tableColumn id="3" xr3:uid="{9904EFA5-B6B7-48A0-925C-A192E54EFC95}" name="Task" dataDxfId="17"/>
    <tableColumn id="5" xr3:uid="{C9D461EB-CAFF-4EF1-9419-30501432E410}" name="Effort (hrs)" dataDxfId="16"/>
    <tableColumn id="6" xr3:uid="{A3CD256D-FCB2-45E2-A0E0-415E7FFE5D62}" name="Status" dataDxfId="15"/>
    <tableColumn id="8" xr3:uid="{4E72C456-17EC-46EA-9625-067670C03227}" name="Due Date" dataDxfId="14"/>
    <tableColumn id="9" xr3:uid="{520DF25C-C7E5-4CCB-B8D4-DCBF854A1CEE}" name="Days Left" dataDxfId="13">
      <calculatedColumnFormula>IF(ISBLANK(Table1[[#This Row],[Due Date]]),"", Table1[[#This Row],[Due Date]]-TODAY())</calculatedColumnFormula>
    </tableColumn>
    <tableColumn id="10" xr3:uid="{08911E2F-0D86-4DA1-AAA6-59891E5C641F}" name="Time Spent (hrs)" dataDxfId="12"/>
    <tableColumn id="11" xr3:uid="{44D4CBD4-488E-429A-86B2-CFD6583D4C67}" name="Notes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L130"/>
  <sheetViews>
    <sheetView tabSelected="1" topLeftCell="A19" zoomScale="85" zoomScaleNormal="85" workbookViewId="0">
      <selection activeCell="J8" sqref="J8"/>
    </sheetView>
  </sheetViews>
  <sheetFormatPr defaultColWidth="10.59765625" defaultRowHeight="30" customHeight="1"/>
  <cols>
    <col min="1" max="2" width="5.59765625" style="9" customWidth="1"/>
    <col min="3" max="3" width="28.09765625" style="10" customWidth="1"/>
    <col min="4" max="6" width="10.59765625" style="10"/>
    <col min="7" max="7" width="10.8984375" style="9" bestFit="1" customWidth="1"/>
    <col min="8" max="8" width="10.59765625" style="9" customWidth="1"/>
    <col min="9" max="10" width="100.69921875" style="9" customWidth="1"/>
    <col min="11" max="11" width="48.5" style="9" customWidth="1"/>
    <col min="12" max="20" width="10.59765625" style="9"/>
    <col min="21" max="22" width="10.59765625" style="9" customWidth="1"/>
    <col min="23" max="16384" width="10.59765625" style="9"/>
  </cols>
  <sheetData>
    <row r="1" spans="2:10" ht="15" customHeight="1"/>
    <row r="2" spans="2:10" ht="15" customHeight="1">
      <c r="B2" s="48" t="s">
        <v>0</v>
      </c>
      <c r="C2" s="48"/>
      <c r="D2" s="14"/>
      <c r="E2" s="15" t="s">
        <v>1</v>
      </c>
      <c r="F2" s="15">
        <f>COUNTA(Table1[Task])</f>
        <v>12</v>
      </c>
      <c r="G2" s="17"/>
      <c r="I2" s="8">
        <f>F3/F2</f>
        <v>0.25</v>
      </c>
    </row>
    <row r="3" spans="2:10" ht="15" customHeight="1">
      <c r="B3" s="48"/>
      <c r="C3" s="48"/>
      <c r="D3" s="7"/>
      <c r="E3" s="16" t="s">
        <v>2</v>
      </c>
      <c r="F3" s="16">
        <f>COUNTIF(Table1[Status],"Completed")</f>
        <v>3</v>
      </c>
      <c r="G3" s="17"/>
      <c r="I3" s="8"/>
    </row>
    <row r="4" spans="2:10" ht="15" customHeight="1"/>
    <row r="5" spans="2:10" ht="15" customHeight="1">
      <c r="B5" s="19" t="s">
        <v>3</v>
      </c>
      <c r="C5" s="18">
        <f ca="1">TODAY()</f>
        <v>45985</v>
      </c>
      <c r="G5" s="11"/>
    </row>
    <row r="6" spans="2:10" ht="15" customHeight="1">
      <c r="I6" s="47"/>
    </row>
    <row r="7" spans="2:10" ht="15" customHeight="1">
      <c r="H7" s="9" t="s">
        <v>4</v>
      </c>
      <c r="I7" s="47">
        <f>COUNTIF(Table1[Effort (hrs)],H7)</f>
        <v>0</v>
      </c>
    </row>
    <row r="8" spans="2:10" ht="15" customHeight="1">
      <c r="B8" s="9" t="s">
        <v>5</v>
      </c>
      <c r="C8" s="9">
        <f>COUNTIF(Table1[Status],B8)</f>
        <v>0</v>
      </c>
      <c r="E8" s="12" t="s">
        <v>6</v>
      </c>
      <c r="F8" s="9" t="e">
        <f>COUNTIF(#REF!,E8)+COUNTIF(#REF!,"CC")+COUNTIF(#REF!,"CD")</f>
        <v>#REF!</v>
      </c>
      <c r="H8" s="9" t="s">
        <v>7</v>
      </c>
      <c r="I8" s="47">
        <f>COUNTIF(Table1[Effort (hrs)],H8)</f>
        <v>0</v>
      </c>
    </row>
    <row r="9" spans="2:10" ht="15" customHeight="1">
      <c r="B9" s="9" t="s">
        <v>8</v>
      </c>
      <c r="C9" s="9">
        <f>COUNTIF(Table1[Status],B9)</f>
        <v>1</v>
      </c>
      <c r="E9" s="12" t="s">
        <v>9</v>
      </c>
      <c r="F9" s="9" t="e">
        <f>COUNTIF(#REF!,E9)</f>
        <v>#REF!</v>
      </c>
      <c r="H9" s="9" t="s">
        <v>10</v>
      </c>
      <c r="I9" s="47">
        <f>COUNTIF(Table1[Effort (hrs)],H9)</f>
        <v>0</v>
      </c>
    </row>
    <row r="10" spans="2:10" ht="15" customHeight="1">
      <c r="B10" s="9" t="s">
        <v>63</v>
      </c>
      <c r="C10" s="9">
        <f>COUNTIF(Table1[Status],B10)</f>
        <v>1</v>
      </c>
      <c r="E10" s="12" t="s">
        <v>11</v>
      </c>
      <c r="F10" s="9" t="e">
        <f>COUNTIF(#REF!,E10)</f>
        <v>#REF!</v>
      </c>
      <c r="H10" s="9" t="s">
        <v>12</v>
      </c>
      <c r="I10" s="47">
        <f>COUNTIF(Table1[Effort (hrs)],H10)</f>
        <v>0</v>
      </c>
    </row>
    <row r="11" spans="2:10" ht="15" customHeight="1">
      <c r="B11" s="9" t="s">
        <v>26</v>
      </c>
      <c r="C11" s="9">
        <f>COUNTIF(Table1[Status],B11)</f>
        <v>7</v>
      </c>
      <c r="E11" s="12" t="s">
        <v>13</v>
      </c>
      <c r="F11" s="9" t="e">
        <f>COUNTIF(#REF!,E11)</f>
        <v>#REF!</v>
      </c>
      <c r="H11" s="9" t="s">
        <v>14</v>
      </c>
      <c r="I11" s="47">
        <f>COUNTIF(Table1[Effort (hrs)],H11)</f>
        <v>0</v>
      </c>
      <c r="J11" s="13"/>
    </row>
    <row r="12" spans="2:10" ht="15" customHeight="1">
      <c r="C12" s="9" t="str">
        <f>IF(COUNTIF(Table1[Status],#REF!)=0,"",COUNTIF(Table1[Status],#REF!))</f>
        <v/>
      </c>
      <c r="E12" s="12" t="s">
        <v>15</v>
      </c>
      <c r="F12" s="9" t="e">
        <f>COUNTIF(#REF!,E12)</f>
        <v>#REF!</v>
      </c>
      <c r="G12" s="13"/>
      <c r="H12" s="13"/>
      <c r="I12" s="13"/>
      <c r="J12" s="13"/>
    </row>
    <row r="13" spans="2:10" ht="15" customHeight="1">
      <c r="C13" s="9" t="str">
        <f>IF(COUNTIF(Table1[Status],#REF!)=0,"",COUNTIF(Table1[Status],#REF!))</f>
        <v/>
      </c>
      <c r="E13" s="12" t="s">
        <v>16</v>
      </c>
      <c r="F13" s="9" t="e">
        <f>COUNTIF(#REF!,E13)</f>
        <v>#REF!</v>
      </c>
      <c r="G13" s="13"/>
      <c r="H13" s="13"/>
      <c r="I13" s="13"/>
      <c r="J13" s="13"/>
    </row>
    <row r="14" spans="2:10" ht="15" customHeight="1">
      <c r="B14" s="9" t="str">
        <f>IF(COUNTIF(Table1[Status],#REF!)=0,"",COUNTIF(Table1[Status],#REF!))</f>
        <v/>
      </c>
      <c r="E14" s="12"/>
      <c r="F14" s="12"/>
      <c r="G14" s="13"/>
      <c r="H14" s="13"/>
      <c r="I14" s="13"/>
      <c r="J14" s="13"/>
    </row>
    <row r="15" spans="2:10" ht="15" customHeight="1">
      <c r="E15" s="12"/>
      <c r="F15" s="12"/>
      <c r="G15" s="13"/>
      <c r="H15" s="13"/>
      <c r="I15" s="13"/>
      <c r="J15" s="13"/>
    </row>
    <row r="16" spans="2:10" ht="15" customHeight="1">
      <c r="E16" s="12"/>
      <c r="F16" s="12"/>
      <c r="G16" s="13"/>
      <c r="H16" s="13"/>
      <c r="I16" s="13"/>
      <c r="J16" s="13"/>
    </row>
    <row r="17" spans="2:12" ht="21" customHeight="1">
      <c r="E17" s="12"/>
      <c r="F17" s="12"/>
      <c r="G17" s="13"/>
      <c r="H17" s="13"/>
      <c r="I17" s="13"/>
      <c r="J17" s="13"/>
    </row>
    <row r="18" spans="2:12" ht="0.9" customHeight="1">
      <c r="E18" s="12"/>
      <c r="F18" s="12"/>
      <c r="G18" s="13"/>
      <c r="H18" s="13"/>
      <c r="I18" s="13"/>
      <c r="J18" s="13"/>
    </row>
    <row r="19" spans="2:12" s="10" customFormat="1" ht="30" customHeight="1">
      <c r="B19" s="32" t="s">
        <v>17</v>
      </c>
      <c r="C19" s="33" t="s">
        <v>18</v>
      </c>
      <c r="D19" s="34" t="s">
        <v>62</v>
      </c>
      <c r="E19" s="35" t="s">
        <v>20</v>
      </c>
      <c r="F19" s="37" t="s">
        <v>21</v>
      </c>
      <c r="G19" s="38" t="s">
        <v>22</v>
      </c>
      <c r="H19" s="36" t="s">
        <v>23</v>
      </c>
      <c r="I19" s="39" t="s">
        <v>24</v>
      </c>
      <c r="L19" s="40"/>
    </row>
    <row r="20" spans="2:12" s="7" customFormat="1" ht="30" customHeight="1">
      <c r="B20" s="29" t="b">
        <v>1</v>
      </c>
      <c r="C20" s="22" t="s">
        <v>48</v>
      </c>
      <c r="D20" s="22">
        <v>8</v>
      </c>
      <c r="E20" s="20" t="s">
        <v>2</v>
      </c>
      <c r="F20" s="30">
        <v>45956</v>
      </c>
      <c r="G20" s="27">
        <f ca="1">IF(ISBLANK(Table1[[#This Row],[Due Date]]),"", Table1[[#This Row],[Due Date]]-TODAY())</f>
        <v>-29</v>
      </c>
      <c r="H20" s="22"/>
      <c r="I20" s="31"/>
    </row>
    <row r="21" spans="2:12" s="7" customFormat="1" ht="30" customHeight="1">
      <c r="B21" s="29" t="b">
        <v>1</v>
      </c>
      <c r="C21" s="22" t="s">
        <v>49</v>
      </c>
      <c r="D21" s="22">
        <v>6</v>
      </c>
      <c r="E21" s="20" t="s">
        <v>2</v>
      </c>
      <c r="F21" s="30">
        <v>45956</v>
      </c>
      <c r="G21" s="27">
        <f ca="1">IF(ISBLANK(Table1[[#This Row],[Due Date]]),"", Table1[[#This Row],[Due Date]]-TODAY())</f>
        <v>-29</v>
      </c>
      <c r="H21" s="22"/>
      <c r="I21" s="31"/>
    </row>
    <row r="22" spans="2:12" s="7" customFormat="1" ht="30" customHeight="1">
      <c r="B22" s="29" t="b">
        <v>1</v>
      </c>
      <c r="C22" s="22" t="s">
        <v>50</v>
      </c>
      <c r="D22" s="22">
        <v>10</v>
      </c>
      <c r="E22" s="20" t="s">
        <v>2</v>
      </c>
      <c r="F22" s="30">
        <v>45970</v>
      </c>
      <c r="G22" s="27">
        <f ca="1">IF(ISBLANK(Table1[[#This Row],[Due Date]]),"", Table1[[#This Row],[Due Date]]-TODAY())</f>
        <v>-15</v>
      </c>
      <c r="H22" s="22"/>
      <c r="I22" s="31"/>
    </row>
    <row r="23" spans="2:12" s="7" customFormat="1" ht="30" customHeight="1">
      <c r="B23" s="29" t="b">
        <v>0</v>
      </c>
      <c r="C23" s="22" t="s">
        <v>51</v>
      </c>
      <c r="D23" s="22">
        <v>12</v>
      </c>
      <c r="E23" s="20" t="s">
        <v>8</v>
      </c>
      <c r="F23" s="30">
        <v>45984</v>
      </c>
      <c r="G23" s="27">
        <f ca="1">IF(ISBLANK(Table1[[#This Row],[Due Date]]),"", Table1[[#This Row],[Due Date]]-TODAY())</f>
        <v>-1</v>
      </c>
      <c r="H23" s="22"/>
      <c r="I23" s="31"/>
    </row>
    <row r="24" spans="2:12" s="7" customFormat="1" ht="30" customHeight="1">
      <c r="B24" s="29" t="b">
        <v>0</v>
      </c>
      <c r="C24" s="22" t="s">
        <v>52</v>
      </c>
      <c r="D24" s="22">
        <v>14</v>
      </c>
      <c r="E24" s="20" t="s">
        <v>26</v>
      </c>
      <c r="F24" s="30">
        <v>45991</v>
      </c>
      <c r="G24" s="27">
        <f ca="1">IF(ISBLANK(Table1[[#This Row],[Due Date]]),"", Table1[[#This Row],[Due Date]]-TODAY())</f>
        <v>6</v>
      </c>
      <c r="H24" s="22"/>
      <c r="I24" s="31" t="s">
        <v>54</v>
      </c>
    </row>
    <row r="25" spans="2:12" s="7" customFormat="1" ht="30" customHeight="1">
      <c r="B25" s="29" t="b">
        <v>0</v>
      </c>
      <c r="C25" s="22" t="s">
        <v>53</v>
      </c>
      <c r="D25" s="22">
        <v>20</v>
      </c>
      <c r="E25" s="20" t="s">
        <v>26</v>
      </c>
      <c r="F25" s="30">
        <v>46026</v>
      </c>
      <c r="G25" s="27">
        <f ca="1">IF(ISBLANK(Table1[[#This Row],[Due Date]]),"", Table1[[#This Row],[Due Date]]-TODAY())</f>
        <v>41</v>
      </c>
      <c r="H25" s="22"/>
      <c r="I25" s="31" t="s">
        <v>55</v>
      </c>
    </row>
    <row r="26" spans="2:12" s="7" customFormat="1" ht="30" customHeight="1">
      <c r="B26" s="29" t="b">
        <v>0</v>
      </c>
      <c r="C26" s="22" t="s">
        <v>56</v>
      </c>
      <c r="D26" s="22">
        <v>8</v>
      </c>
      <c r="E26" s="20" t="s">
        <v>63</v>
      </c>
      <c r="F26" s="30">
        <v>46047</v>
      </c>
      <c r="G26" s="27">
        <f ca="1">IF(ISBLANK(Table1[[#This Row],[Due Date]]),"", Table1[[#This Row],[Due Date]]-TODAY())</f>
        <v>62</v>
      </c>
      <c r="H26" s="22"/>
      <c r="I26" s="31"/>
    </row>
    <row r="27" spans="2:12" s="7" customFormat="1" ht="30" customHeight="1">
      <c r="B27" s="29" t="b">
        <v>0</v>
      </c>
      <c r="C27" s="22" t="s">
        <v>57</v>
      </c>
      <c r="D27" s="22">
        <v>10</v>
      </c>
      <c r="E27" s="20" t="s">
        <v>26</v>
      </c>
      <c r="F27" s="30">
        <v>46075</v>
      </c>
      <c r="G27" s="27">
        <f ca="1">IF(ISBLANK(Table1[[#This Row],[Due Date]]),"", Table1[[#This Row],[Due Date]]-TODAY())</f>
        <v>90</v>
      </c>
      <c r="H27" s="22"/>
      <c r="I27" s="31"/>
    </row>
    <row r="28" spans="2:12" s="7" customFormat="1" ht="30" customHeight="1">
      <c r="B28" s="29" t="b">
        <v>0</v>
      </c>
      <c r="C28" s="22" t="s">
        <v>58</v>
      </c>
      <c r="D28" s="22">
        <v>14</v>
      </c>
      <c r="E28" s="20" t="s">
        <v>26</v>
      </c>
      <c r="F28" s="26">
        <v>46103</v>
      </c>
      <c r="G28" s="27">
        <f ca="1">IF(ISBLANK(Table1[[#This Row],[Due Date]]),"", Table1[[#This Row],[Due Date]]-TODAY())</f>
        <v>118</v>
      </c>
      <c r="H28" s="22"/>
      <c r="I28" s="31"/>
    </row>
    <row r="29" spans="2:12" s="7" customFormat="1" ht="30" customHeight="1">
      <c r="B29" s="29" t="b">
        <v>0</v>
      </c>
      <c r="C29" s="22" t="s">
        <v>59</v>
      </c>
      <c r="D29" s="22">
        <v>12</v>
      </c>
      <c r="E29" s="20" t="s">
        <v>26</v>
      </c>
      <c r="F29" s="30">
        <v>46117</v>
      </c>
      <c r="G29" s="27">
        <f ca="1">IF(ISBLANK(Table1[[#This Row],[Due Date]]),"", Table1[[#This Row],[Due Date]]-TODAY())</f>
        <v>132</v>
      </c>
      <c r="H29" s="22"/>
      <c r="I29" s="31"/>
    </row>
    <row r="30" spans="2:12" s="7" customFormat="1" ht="30" customHeight="1">
      <c r="B30" s="29" t="b">
        <v>0</v>
      </c>
      <c r="C30" s="22" t="s">
        <v>60</v>
      </c>
      <c r="D30" s="22">
        <v>8</v>
      </c>
      <c r="E30" s="20" t="s">
        <v>26</v>
      </c>
      <c r="F30" s="30">
        <v>46124</v>
      </c>
      <c r="G30" s="27">
        <f ca="1">IF(ISBLANK(Table1[[#This Row],[Due Date]]),"", Table1[[#This Row],[Due Date]]-TODAY())</f>
        <v>139</v>
      </c>
      <c r="H30" s="22"/>
      <c r="I30" s="31"/>
    </row>
    <row r="31" spans="2:12" s="7" customFormat="1" ht="30" customHeight="1">
      <c r="B31" s="29" t="b">
        <v>0</v>
      </c>
      <c r="C31" s="22" t="s">
        <v>61</v>
      </c>
      <c r="D31" s="22">
        <v>8</v>
      </c>
      <c r="E31" s="20" t="s">
        <v>26</v>
      </c>
      <c r="F31" s="30">
        <v>46131</v>
      </c>
      <c r="G31" s="27">
        <f ca="1">IF(ISBLANK(Table1[[#This Row],[Due Date]]),"", Table1[[#This Row],[Due Date]]-TODAY())</f>
        <v>146</v>
      </c>
      <c r="H31" s="22"/>
      <c r="I31" s="31"/>
    </row>
    <row r="32" spans="2:12" s="7" customFormat="1" ht="30" customHeight="1">
      <c r="B32" s="29" t="b">
        <v>0</v>
      </c>
      <c r="C32" s="22"/>
      <c r="D32" s="22"/>
      <c r="E32" s="20"/>
      <c r="F32" s="30"/>
      <c r="G32" s="27"/>
      <c r="H32" s="22"/>
      <c r="I32" s="31"/>
    </row>
    <row r="33" spans="2:9" s="7" customFormat="1" ht="30" customHeight="1">
      <c r="B33" s="41" t="b">
        <v>0</v>
      </c>
      <c r="C33" s="22"/>
      <c r="D33" s="22"/>
      <c r="E33" s="20"/>
      <c r="F33" s="30"/>
      <c r="G33" s="27"/>
      <c r="H33" s="21"/>
      <c r="I33" s="43"/>
    </row>
    <row r="34" spans="2:9" s="7" customFormat="1" ht="30" customHeight="1">
      <c r="B34" s="41" t="b">
        <v>0</v>
      </c>
      <c r="C34" s="22"/>
      <c r="D34" s="22"/>
      <c r="E34" s="20"/>
      <c r="F34" s="30"/>
      <c r="G34" s="42"/>
      <c r="H34" s="22"/>
      <c r="I34" s="43"/>
    </row>
    <row r="35" spans="2:9" s="7" customFormat="1" ht="30" customHeight="1">
      <c r="B35" s="29" t="b">
        <v>0</v>
      </c>
      <c r="C35" s="20"/>
      <c r="D35" s="22"/>
      <c r="E35" s="20"/>
      <c r="F35" s="30"/>
      <c r="G35" s="27"/>
      <c r="H35" s="20"/>
      <c r="I35" s="31"/>
    </row>
    <row r="36" spans="2:9" s="7" customFormat="1" ht="30" customHeight="1">
      <c r="B36" s="29" t="b">
        <v>0</v>
      </c>
      <c r="C36" s="22"/>
      <c r="D36" s="22"/>
      <c r="E36" s="20"/>
      <c r="F36" s="30"/>
      <c r="G36" s="27"/>
      <c r="H36" s="22"/>
      <c r="I36" s="31"/>
    </row>
    <row r="37" spans="2:9" s="7" customFormat="1" ht="30" customHeight="1">
      <c r="B37" s="29" t="b">
        <v>0</v>
      </c>
      <c r="C37" s="22"/>
      <c r="D37" s="22"/>
      <c r="E37" s="20"/>
      <c r="F37" s="30"/>
      <c r="G37" s="27"/>
      <c r="H37" s="22"/>
      <c r="I37" s="31"/>
    </row>
    <row r="38" spans="2:9" s="7" customFormat="1" ht="30" customHeight="1">
      <c r="B38" s="29" t="b">
        <v>0</v>
      </c>
      <c r="C38" s="22"/>
      <c r="D38" s="22"/>
      <c r="E38" s="20"/>
      <c r="F38" s="30"/>
      <c r="G38" s="27"/>
      <c r="H38" s="22"/>
      <c r="I38" s="31"/>
    </row>
    <row r="39" spans="2:9" s="7" customFormat="1" ht="30" customHeight="1">
      <c r="B39" s="29" t="b">
        <v>0</v>
      </c>
      <c r="C39" s="22"/>
      <c r="D39" s="22"/>
      <c r="E39" s="20"/>
      <c r="F39" s="30"/>
      <c r="G39" s="27"/>
      <c r="H39" s="22"/>
      <c r="I39" s="31"/>
    </row>
    <row r="40" spans="2:9" s="7" customFormat="1" ht="30" customHeight="1">
      <c r="B40" s="29" t="b">
        <v>0</v>
      </c>
      <c r="C40" s="22"/>
      <c r="D40" s="22"/>
      <c r="E40" s="20"/>
      <c r="F40" s="30"/>
      <c r="G40" s="27"/>
      <c r="H40" s="22"/>
      <c r="I40" s="31"/>
    </row>
    <row r="41" spans="2:9" s="7" customFormat="1" ht="30" customHeight="1">
      <c r="B41" s="29" t="b">
        <v>0</v>
      </c>
      <c r="C41" s="22"/>
      <c r="D41" s="22"/>
      <c r="E41" s="20"/>
      <c r="F41" s="30"/>
      <c r="G41" s="27"/>
      <c r="H41" s="22"/>
      <c r="I41" s="31"/>
    </row>
    <row r="42" spans="2:9" s="7" customFormat="1" ht="30" customHeight="1">
      <c r="B42" s="29" t="b">
        <v>0</v>
      </c>
      <c r="C42" s="22"/>
      <c r="D42" s="22"/>
      <c r="E42" s="20"/>
      <c r="F42" s="30"/>
      <c r="G42" s="27"/>
      <c r="H42" s="22"/>
      <c r="I42" s="31"/>
    </row>
    <row r="43" spans="2:9" s="7" customFormat="1" ht="30" customHeight="1">
      <c r="B43" s="29" t="b">
        <v>0</v>
      </c>
      <c r="C43" s="22"/>
      <c r="D43" s="22"/>
      <c r="E43" s="20"/>
      <c r="F43" s="30"/>
      <c r="G43" s="27"/>
      <c r="H43" s="22"/>
      <c r="I43" s="31"/>
    </row>
    <row r="44" spans="2:9" s="7" customFormat="1" ht="30" customHeight="1">
      <c r="B44" s="29" t="b">
        <v>0</v>
      </c>
      <c r="C44" s="22"/>
      <c r="D44" s="22"/>
      <c r="E44" s="20"/>
      <c r="F44" s="30"/>
      <c r="G44" s="27"/>
      <c r="H44" s="22"/>
      <c r="I44" s="31"/>
    </row>
    <row r="45" spans="2:9" s="7" customFormat="1" ht="30" customHeight="1">
      <c r="B45" s="29" t="b">
        <v>0</v>
      </c>
      <c r="C45" s="22"/>
      <c r="D45" s="22"/>
      <c r="E45" s="20"/>
      <c r="F45" s="30"/>
      <c r="G45" s="27"/>
      <c r="H45" s="22"/>
      <c r="I45" s="31"/>
    </row>
    <row r="46" spans="2:9" s="7" customFormat="1" ht="30" customHeight="1">
      <c r="B46" s="29" t="b">
        <v>0</v>
      </c>
      <c r="C46" s="22"/>
      <c r="D46" s="22"/>
      <c r="E46" s="20"/>
      <c r="F46" s="30"/>
      <c r="G46" s="27"/>
      <c r="H46" s="22"/>
      <c r="I46" s="31"/>
    </row>
    <row r="47" spans="2:9" s="7" customFormat="1" ht="30" customHeight="1">
      <c r="B47" s="29" t="b">
        <v>0</v>
      </c>
      <c r="C47" s="22"/>
      <c r="D47" s="22"/>
      <c r="E47" s="20"/>
      <c r="F47" s="30"/>
      <c r="G47" s="27"/>
      <c r="H47" s="22"/>
      <c r="I47" s="31"/>
    </row>
    <row r="48" spans="2:9" s="7" customFormat="1" ht="30" customHeight="1">
      <c r="B48" s="29" t="b">
        <v>0</v>
      </c>
      <c r="C48" s="22"/>
      <c r="D48" s="22"/>
      <c r="E48" s="20"/>
      <c r="F48" s="30"/>
      <c r="G48" s="27"/>
      <c r="H48" s="22"/>
      <c r="I48" s="31"/>
    </row>
    <row r="49" spans="2:9" s="7" customFormat="1" ht="30" customHeight="1">
      <c r="B49" s="29" t="b">
        <v>0</v>
      </c>
      <c r="C49" s="22"/>
      <c r="D49" s="22"/>
      <c r="E49" s="20"/>
      <c r="F49" s="30"/>
      <c r="G49" s="27"/>
      <c r="H49" s="22"/>
      <c r="I49" s="31"/>
    </row>
    <row r="50" spans="2:9" s="7" customFormat="1" ht="30" customHeight="1">
      <c r="B50" s="29" t="b">
        <v>0</v>
      </c>
      <c r="C50" s="22"/>
      <c r="D50" s="22"/>
      <c r="E50" s="20"/>
      <c r="F50" s="30"/>
      <c r="G50" s="27"/>
      <c r="H50" s="22"/>
      <c r="I50" s="31"/>
    </row>
    <row r="51" spans="2:9" s="7" customFormat="1" ht="30" customHeight="1">
      <c r="B51" s="29" t="b">
        <v>0</v>
      </c>
      <c r="C51" s="22"/>
      <c r="D51" s="22"/>
      <c r="E51" s="20"/>
      <c r="F51" s="30"/>
      <c r="G51" s="27"/>
      <c r="H51" s="22"/>
      <c r="I51" s="31"/>
    </row>
    <row r="52" spans="2:9" s="7" customFormat="1" ht="30" customHeight="1">
      <c r="B52" s="29" t="b">
        <v>0</v>
      </c>
      <c r="C52" s="22"/>
      <c r="D52" s="22"/>
      <c r="E52" s="20"/>
      <c r="F52" s="30"/>
      <c r="G52" s="27"/>
      <c r="H52" s="22"/>
      <c r="I52" s="31"/>
    </row>
    <row r="53" spans="2:9" s="7" customFormat="1" ht="30" customHeight="1">
      <c r="B53" s="29" t="b">
        <v>0</v>
      </c>
      <c r="C53" s="22"/>
      <c r="D53" s="22"/>
      <c r="E53" s="20"/>
      <c r="F53" s="30"/>
      <c r="G53" s="27"/>
      <c r="H53" s="22"/>
      <c r="I53" s="31"/>
    </row>
    <row r="54" spans="2:9" s="7" customFormat="1" ht="30" customHeight="1">
      <c r="B54" s="29" t="b">
        <v>0</v>
      </c>
      <c r="C54" s="22"/>
      <c r="D54" s="22"/>
      <c r="E54" s="20"/>
      <c r="F54" s="30"/>
      <c r="G54" s="27"/>
      <c r="H54" s="22"/>
      <c r="I54" s="31"/>
    </row>
    <row r="55" spans="2:9" s="7" customFormat="1" ht="30" customHeight="1">
      <c r="B55" s="29" t="b">
        <v>0</v>
      </c>
      <c r="C55" s="22"/>
      <c r="D55" s="22"/>
      <c r="E55" s="20"/>
      <c r="F55" s="30"/>
      <c r="G55" s="27"/>
      <c r="H55" s="22"/>
      <c r="I55" s="31"/>
    </row>
    <row r="56" spans="2:9" s="7" customFormat="1" ht="30" customHeight="1">
      <c r="B56" s="29" t="b">
        <v>0</v>
      </c>
      <c r="C56" s="22"/>
      <c r="D56" s="22"/>
      <c r="E56" s="20"/>
      <c r="F56" s="30"/>
      <c r="G56" s="27"/>
      <c r="H56" s="22"/>
      <c r="I56" s="31"/>
    </row>
    <row r="57" spans="2:9" s="7" customFormat="1" ht="30" customHeight="1">
      <c r="B57" s="29" t="b">
        <v>0</v>
      </c>
      <c r="C57" s="22"/>
      <c r="D57" s="22"/>
      <c r="E57" s="20"/>
      <c r="F57" s="30"/>
      <c r="G57" s="27"/>
      <c r="H57" s="22"/>
      <c r="I57" s="31"/>
    </row>
    <row r="58" spans="2:9" s="7" customFormat="1" ht="30" customHeight="1">
      <c r="B58" s="29" t="b">
        <v>0</v>
      </c>
      <c r="C58" s="22"/>
      <c r="D58" s="22"/>
      <c r="E58" s="20"/>
      <c r="F58" s="30"/>
      <c r="G58" s="27"/>
      <c r="H58" s="22"/>
      <c r="I58" s="31"/>
    </row>
    <row r="59" spans="2:9" s="7" customFormat="1" ht="30" customHeight="1">
      <c r="B59" s="29" t="b">
        <v>0</v>
      </c>
      <c r="C59" s="22"/>
      <c r="D59" s="22"/>
      <c r="E59" s="20"/>
      <c r="F59" s="30"/>
      <c r="G59" s="27"/>
      <c r="H59" s="22"/>
      <c r="I59" s="31"/>
    </row>
    <row r="60" spans="2:9" s="7" customFormat="1" ht="30" customHeight="1">
      <c r="B60" s="29" t="b">
        <v>0</v>
      </c>
      <c r="C60" s="22"/>
      <c r="D60" s="22"/>
      <c r="E60" s="20"/>
      <c r="F60" s="30"/>
      <c r="G60" s="27"/>
      <c r="H60" s="22"/>
      <c r="I60" s="31"/>
    </row>
    <row r="61" spans="2:9" s="7" customFormat="1" ht="30" customHeight="1">
      <c r="B61" s="29" t="b">
        <v>0</v>
      </c>
      <c r="C61" s="22"/>
      <c r="D61" s="22"/>
      <c r="E61" s="20"/>
      <c r="F61" s="30"/>
      <c r="G61" s="27"/>
      <c r="H61" s="22"/>
      <c r="I61" s="31"/>
    </row>
    <row r="62" spans="2:9" s="7" customFormat="1" ht="30" customHeight="1">
      <c r="B62" s="29" t="b">
        <v>0</v>
      </c>
      <c r="C62" s="22"/>
      <c r="D62" s="22"/>
      <c r="E62" s="20"/>
      <c r="F62" s="30"/>
      <c r="G62" s="27"/>
      <c r="H62" s="22"/>
      <c r="I62" s="31"/>
    </row>
    <row r="63" spans="2:9" s="7" customFormat="1" ht="30" customHeight="1">
      <c r="B63" s="29" t="b">
        <v>0</v>
      </c>
      <c r="C63" s="22"/>
      <c r="D63" s="22"/>
      <c r="E63" s="20"/>
      <c r="F63" s="30"/>
      <c r="G63" s="27"/>
      <c r="H63" s="22"/>
      <c r="I63" s="31"/>
    </row>
    <row r="64" spans="2:9" s="7" customFormat="1" ht="30" customHeight="1">
      <c r="B64" s="29" t="b">
        <v>0</v>
      </c>
      <c r="C64" s="22"/>
      <c r="D64" s="22"/>
      <c r="E64" s="20"/>
      <c r="F64" s="30"/>
      <c r="G64" s="27" t="str">
        <f ca="1">IF(ISBLANK(Table1[[#This Row],[Due Date]]),"", Table1[[#This Row],[Due Date]]-TODAY())</f>
        <v/>
      </c>
      <c r="H64" s="22"/>
      <c r="I64" s="31"/>
    </row>
    <row r="65" spans="2:9" s="7" customFormat="1" ht="30" customHeight="1">
      <c r="B65" s="29" t="b">
        <v>0</v>
      </c>
      <c r="C65" s="22"/>
      <c r="D65" s="22"/>
      <c r="E65" s="20"/>
      <c r="F65" s="30"/>
      <c r="G65" s="27" t="str">
        <f ca="1">IF(ISBLANK(Table1[[#This Row],[Due Date]]),"", Table1[[#This Row],[Due Date]]-TODAY())</f>
        <v/>
      </c>
      <c r="H65" s="22"/>
      <c r="I65" s="31"/>
    </row>
    <row r="66" spans="2:9" s="7" customFormat="1" ht="30" customHeight="1">
      <c r="B66" s="29" t="b">
        <v>0</v>
      </c>
      <c r="C66" s="22"/>
      <c r="D66" s="22"/>
      <c r="E66" s="20"/>
      <c r="F66" s="30"/>
      <c r="G66" s="27" t="str">
        <f ca="1">IF(ISBLANK(Table1[[#This Row],[Due Date]]),"", Table1[[#This Row],[Due Date]]-TODAY())</f>
        <v/>
      </c>
      <c r="H66" s="22"/>
      <c r="I66" s="31"/>
    </row>
    <row r="67" spans="2:9" s="7" customFormat="1" ht="30" customHeight="1">
      <c r="B67" s="29" t="b">
        <v>0</v>
      </c>
      <c r="C67" s="22"/>
      <c r="D67" s="22"/>
      <c r="E67" s="20"/>
      <c r="F67" s="30"/>
      <c r="G67" s="27" t="str">
        <f ca="1">IF(ISBLANK(Table1[[#This Row],[Due Date]]),"", Table1[[#This Row],[Due Date]]-TODAY())</f>
        <v/>
      </c>
      <c r="H67" s="22"/>
      <c r="I67" s="31"/>
    </row>
    <row r="68" spans="2:9" s="7" customFormat="1" ht="30" customHeight="1">
      <c r="B68" s="29" t="b">
        <v>0</v>
      </c>
      <c r="C68" s="22"/>
      <c r="D68" s="22"/>
      <c r="E68" s="20"/>
      <c r="F68" s="30"/>
      <c r="G68" s="27" t="str">
        <f ca="1">IF(ISBLANK(Table1[[#This Row],[Due Date]]),"", Table1[[#This Row],[Due Date]]-TODAY())</f>
        <v/>
      </c>
      <c r="H68" s="22"/>
      <c r="I68" s="31"/>
    </row>
    <row r="69" spans="2:9" s="7" customFormat="1" ht="30" customHeight="1">
      <c r="B69" s="29" t="b">
        <v>0</v>
      </c>
      <c r="C69" s="22"/>
      <c r="D69" s="22"/>
      <c r="E69" s="20"/>
      <c r="F69" s="30"/>
      <c r="G69" s="27" t="str">
        <f ca="1">IF(ISBLANK(Table1[[#This Row],[Due Date]]),"", Table1[[#This Row],[Due Date]]-TODAY())</f>
        <v/>
      </c>
      <c r="H69" s="22"/>
      <c r="I69" s="31"/>
    </row>
    <row r="70" spans="2:9" s="7" customFormat="1" ht="30" customHeight="1">
      <c r="B70" s="29" t="b">
        <v>0</v>
      </c>
      <c r="C70" s="22"/>
      <c r="D70" s="22"/>
      <c r="E70" s="20"/>
      <c r="F70" s="30"/>
      <c r="G70" s="27" t="str">
        <f ca="1">IF(ISBLANK(Table1[[#This Row],[Due Date]]),"", Table1[[#This Row],[Due Date]]-TODAY())</f>
        <v/>
      </c>
      <c r="H70" s="22"/>
      <c r="I70" s="31"/>
    </row>
    <row r="71" spans="2:9" s="7" customFormat="1" ht="30" customHeight="1">
      <c r="B71" s="29" t="b">
        <v>0</v>
      </c>
      <c r="C71" s="22"/>
      <c r="D71" s="22"/>
      <c r="E71" s="20"/>
      <c r="F71" s="30"/>
      <c r="G71" s="27" t="str">
        <f ca="1">IF(ISBLANK(Table1[[#This Row],[Due Date]]),"", Table1[[#This Row],[Due Date]]-TODAY())</f>
        <v/>
      </c>
      <c r="H71" s="22"/>
      <c r="I71" s="31"/>
    </row>
    <row r="72" spans="2:9" s="7" customFormat="1" ht="30" customHeight="1">
      <c r="B72" s="29" t="b">
        <v>0</v>
      </c>
      <c r="C72" s="22"/>
      <c r="D72" s="22"/>
      <c r="E72" s="20"/>
      <c r="F72" s="30"/>
      <c r="G72" s="27" t="str">
        <f ca="1">IF(ISBLANK(Table1[[#This Row],[Due Date]]),"", Table1[[#This Row],[Due Date]]-TODAY())</f>
        <v/>
      </c>
      <c r="H72" s="22"/>
      <c r="I72" s="31"/>
    </row>
    <row r="73" spans="2:9" s="7" customFormat="1" ht="30" customHeight="1">
      <c r="B73" s="29" t="b">
        <v>0</v>
      </c>
      <c r="C73" s="22"/>
      <c r="D73" s="22"/>
      <c r="E73" s="20"/>
      <c r="F73" s="30"/>
      <c r="G73" s="27" t="str">
        <f ca="1">IF(ISBLANK(Table1[[#This Row],[Due Date]]),"", Table1[[#This Row],[Due Date]]-TODAY())</f>
        <v/>
      </c>
      <c r="H73" s="22"/>
      <c r="I73" s="31"/>
    </row>
    <row r="74" spans="2:9" s="7" customFormat="1" ht="30" customHeight="1">
      <c r="B74" s="29" t="b">
        <v>0</v>
      </c>
      <c r="C74" s="22"/>
      <c r="D74" s="22"/>
      <c r="E74" s="20"/>
      <c r="F74" s="30"/>
      <c r="G74" s="27" t="str">
        <f ca="1">IF(ISBLANK(Table1[[#This Row],[Due Date]]),"", Table1[[#This Row],[Due Date]]-TODAY())</f>
        <v/>
      </c>
      <c r="H74" s="22"/>
      <c r="I74" s="31"/>
    </row>
    <row r="75" spans="2:9" s="7" customFormat="1" ht="30" customHeight="1">
      <c r="B75" s="29" t="b">
        <v>0</v>
      </c>
      <c r="C75" s="22"/>
      <c r="D75" s="22"/>
      <c r="E75" s="20"/>
      <c r="F75" s="30"/>
      <c r="G75" s="27" t="str">
        <f ca="1">IF(ISBLANK(Table1[[#This Row],[Due Date]]),"", Table1[[#This Row],[Due Date]]-TODAY())</f>
        <v/>
      </c>
      <c r="H75" s="22"/>
      <c r="I75" s="31"/>
    </row>
    <row r="76" spans="2:9" s="7" customFormat="1" ht="30" customHeight="1">
      <c r="B76" s="29" t="b">
        <v>0</v>
      </c>
      <c r="C76" s="22"/>
      <c r="D76" s="22"/>
      <c r="E76" s="20"/>
      <c r="F76" s="30"/>
      <c r="G76" s="27" t="str">
        <f ca="1">IF(ISBLANK(Table1[[#This Row],[Due Date]]),"", Table1[[#This Row],[Due Date]]-TODAY())</f>
        <v/>
      </c>
      <c r="H76" s="22"/>
      <c r="I76" s="31"/>
    </row>
    <row r="77" spans="2:9" s="7" customFormat="1" ht="30" customHeight="1">
      <c r="B77" s="29" t="b">
        <v>0</v>
      </c>
      <c r="C77" s="22"/>
      <c r="D77" s="22"/>
      <c r="E77" s="20"/>
      <c r="F77" s="30"/>
      <c r="G77" s="27" t="str">
        <f ca="1">IF(ISBLANK(Table1[[#This Row],[Due Date]]),"", Table1[[#This Row],[Due Date]]-TODAY())</f>
        <v/>
      </c>
      <c r="H77" s="22"/>
      <c r="I77" s="31"/>
    </row>
    <row r="78" spans="2:9" s="7" customFormat="1" ht="30" customHeight="1">
      <c r="B78" s="29" t="b">
        <v>0</v>
      </c>
      <c r="C78" s="22"/>
      <c r="D78" s="22"/>
      <c r="E78" s="20"/>
      <c r="F78" s="30"/>
      <c r="G78" s="27" t="str">
        <f ca="1">IF(ISBLANK(Table1[[#This Row],[Due Date]]),"", Table1[[#This Row],[Due Date]]-TODAY())</f>
        <v/>
      </c>
      <c r="H78" s="22"/>
      <c r="I78" s="31"/>
    </row>
    <row r="79" spans="2:9" s="7" customFormat="1" ht="30" customHeight="1">
      <c r="B79" s="29" t="b">
        <v>0</v>
      </c>
      <c r="C79" s="22"/>
      <c r="D79" s="22"/>
      <c r="E79" s="20"/>
      <c r="F79" s="30"/>
      <c r="G79" s="27" t="str">
        <f ca="1">IF(ISBLANK(Table1[[#This Row],[Due Date]]),"", Table1[[#This Row],[Due Date]]-TODAY())</f>
        <v/>
      </c>
      <c r="H79" s="22"/>
      <c r="I79" s="31"/>
    </row>
    <row r="80" spans="2:9" s="7" customFormat="1" ht="30" customHeight="1">
      <c r="B80" s="29" t="b">
        <v>0</v>
      </c>
      <c r="C80" s="22"/>
      <c r="D80" s="22"/>
      <c r="E80" s="20"/>
      <c r="F80" s="30"/>
      <c r="G80" s="27" t="str">
        <f ca="1">IF(ISBLANK(Table1[[#This Row],[Due Date]]),"", Table1[[#This Row],[Due Date]]-TODAY())</f>
        <v/>
      </c>
      <c r="H80" s="22"/>
      <c r="I80" s="31"/>
    </row>
    <row r="81" spans="2:9" s="7" customFormat="1" ht="30" customHeight="1">
      <c r="B81" s="29" t="b">
        <v>0</v>
      </c>
      <c r="C81" s="22"/>
      <c r="D81" s="22"/>
      <c r="E81" s="20"/>
      <c r="F81" s="30"/>
      <c r="G81" s="27" t="str">
        <f ca="1">IF(ISBLANK(Table1[[#This Row],[Due Date]]),"", Table1[[#This Row],[Due Date]]-TODAY())</f>
        <v/>
      </c>
      <c r="H81" s="22"/>
      <c r="I81" s="31"/>
    </row>
    <row r="82" spans="2:9" s="7" customFormat="1" ht="30" customHeight="1">
      <c r="B82" s="29" t="b">
        <v>0</v>
      </c>
      <c r="C82" s="22"/>
      <c r="D82" s="22"/>
      <c r="E82" s="20"/>
      <c r="F82" s="30"/>
      <c r="G82" s="27" t="str">
        <f ca="1">IF(ISBLANK(Table1[[#This Row],[Due Date]]),"", Table1[[#This Row],[Due Date]]-TODAY())</f>
        <v/>
      </c>
      <c r="H82" s="22"/>
      <c r="I82" s="31"/>
    </row>
    <row r="83" spans="2:9" s="7" customFormat="1" ht="30" customHeight="1">
      <c r="B83" s="29" t="b">
        <v>0</v>
      </c>
      <c r="C83" s="22"/>
      <c r="D83" s="22"/>
      <c r="E83" s="20"/>
      <c r="F83" s="30"/>
      <c r="G83" s="27" t="str">
        <f ca="1">IF(ISBLANK(Table1[[#This Row],[Due Date]]),"", Table1[[#This Row],[Due Date]]-TODAY())</f>
        <v/>
      </c>
      <c r="H83" s="22"/>
      <c r="I83" s="31"/>
    </row>
    <row r="84" spans="2:9" s="7" customFormat="1" ht="30" customHeight="1">
      <c r="B84" s="29" t="b">
        <v>0</v>
      </c>
      <c r="C84" s="22"/>
      <c r="D84" s="22"/>
      <c r="E84" s="20"/>
      <c r="F84" s="30"/>
      <c r="G84" s="27" t="str">
        <f ca="1">IF(ISBLANK(Table1[[#This Row],[Due Date]]),"", Table1[[#This Row],[Due Date]]-TODAY())</f>
        <v/>
      </c>
      <c r="H84" s="22"/>
      <c r="I84" s="31"/>
    </row>
    <row r="85" spans="2:9" s="7" customFormat="1" ht="30" customHeight="1">
      <c r="B85" s="29" t="b">
        <v>0</v>
      </c>
      <c r="C85" s="22"/>
      <c r="D85" s="22"/>
      <c r="E85" s="20"/>
      <c r="F85" s="30"/>
      <c r="G85" s="27" t="str">
        <f ca="1">IF(ISBLANK(Table1[[#This Row],[Due Date]]),"", Table1[[#This Row],[Due Date]]-TODAY())</f>
        <v/>
      </c>
      <c r="H85" s="22"/>
      <c r="I85" s="31"/>
    </row>
    <row r="86" spans="2:9" s="7" customFormat="1" ht="30" customHeight="1">
      <c r="B86" s="29" t="b">
        <v>0</v>
      </c>
      <c r="C86" s="22"/>
      <c r="D86" s="22"/>
      <c r="E86" s="20"/>
      <c r="F86" s="30"/>
      <c r="G86" s="27" t="str">
        <f ca="1">IF(ISBLANK(Table1[[#This Row],[Due Date]]),"", Table1[[#This Row],[Due Date]]-TODAY())</f>
        <v/>
      </c>
      <c r="H86" s="22"/>
      <c r="I86" s="31"/>
    </row>
    <row r="87" spans="2:9" s="7" customFormat="1" ht="30" customHeight="1">
      <c r="B87" s="29" t="b">
        <v>0</v>
      </c>
      <c r="C87" s="22"/>
      <c r="D87" s="22"/>
      <c r="E87" s="20"/>
      <c r="F87" s="30"/>
      <c r="G87" s="27" t="str">
        <f ca="1">IF(ISBLANK(Table1[[#This Row],[Due Date]]),"", Table1[[#This Row],[Due Date]]-TODAY())</f>
        <v/>
      </c>
      <c r="H87" s="22"/>
      <c r="I87" s="31"/>
    </row>
    <row r="88" spans="2:9" s="7" customFormat="1" ht="30" customHeight="1">
      <c r="B88" s="29" t="b">
        <v>0</v>
      </c>
      <c r="C88" s="22"/>
      <c r="D88" s="22"/>
      <c r="E88" s="20"/>
      <c r="F88" s="30"/>
      <c r="G88" s="27" t="str">
        <f ca="1">IF(ISBLANK(Table1[[#This Row],[Due Date]]),"", Table1[[#This Row],[Due Date]]-TODAY())</f>
        <v/>
      </c>
      <c r="H88" s="22"/>
      <c r="I88" s="31"/>
    </row>
    <row r="89" spans="2:9" s="7" customFormat="1" ht="30" customHeight="1">
      <c r="B89" s="29" t="b">
        <v>0</v>
      </c>
      <c r="C89" s="22"/>
      <c r="D89" s="22"/>
      <c r="E89" s="20"/>
      <c r="F89" s="30"/>
      <c r="G89" s="27" t="str">
        <f ca="1">IF(ISBLANK(Table1[[#This Row],[Due Date]]),"", Table1[[#This Row],[Due Date]]-TODAY())</f>
        <v/>
      </c>
      <c r="H89" s="22"/>
      <c r="I89" s="31"/>
    </row>
    <row r="90" spans="2:9" s="7" customFormat="1" ht="30" customHeight="1">
      <c r="B90" s="29" t="b">
        <v>0</v>
      </c>
      <c r="C90" s="22"/>
      <c r="D90" s="22"/>
      <c r="E90" s="20"/>
      <c r="F90" s="30"/>
      <c r="G90" s="27" t="str">
        <f ca="1">IF(ISBLANK(Table1[[#This Row],[Due Date]]),"", Table1[[#This Row],[Due Date]]-TODAY())</f>
        <v/>
      </c>
      <c r="H90" s="22"/>
      <c r="I90" s="31"/>
    </row>
    <row r="91" spans="2:9" s="7" customFormat="1" ht="30" customHeight="1">
      <c r="B91" s="29" t="b">
        <v>0</v>
      </c>
      <c r="C91" s="22"/>
      <c r="D91" s="22"/>
      <c r="E91" s="20"/>
      <c r="F91" s="30"/>
      <c r="G91" s="27" t="str">
        <f ca="1">IF(ISBLANK(Table1[[#This Row],[Due Date]]),"", Table1[[#This Row],[Due Date]]-TODAY())</f>
        <v/>
      </c>
      <c r="H91" s="22"/>
      <c r="I91" s="31"/>
    </row>
    <row r="92" spans="2:9" s="7" customFormat="1" ht="30" customHeight="1">
      <c r="B92" s="29" t="b">
        <v>0</v>
      </c>
      <c r="C92" s="22"/>
      <c r="D92" s="22"/>
      <c r="E92" s="20"/>
      <c r="F92" s="30"/>
      <c r="G92" s="27" t="str">
        <f ca="1">IF(ISBLANK(Table1[[#This Row],[Due Date]]),"", Table1[[#This Row],[Due Date]]-TODAY())</f>
        <v/>
      </c>
      <c r="H92" s="22"/>
      <c r="I92" s="31"/>
    </row>
    <row r="93" spans="2:9" s="7" customFormat="1" ht="30" customHeight="1">
      <c r="B93" s="29" t="b">
        <v>0</v>
      </c>
      <c r="C93" s="22"/>
      <c r="D93" s="22"/>
      <c r="E93" s="20"/>
      <c r="F93" s="30"/>
      <c r="G93" s="27" t="str">
        <f ca="1">IF(ISBLANK(Table1[[#This Row],[Due Date]]),"", Table1[[#This Row],[Due Date]]-TODAY())</f>
        <v/>
      </c>
      <c r="H93" s="22"/>
      <c r="I93" s="31"/>
    </row>
    <row r="94" spans="2:9" s="7" customFormat="1" ht="30" customHeight="1">
      <c r="B94" s="29" t="b">
        <v>0</v>
      </c>
      <c r="C94" s="22"/>
      <c r="D94" s="22"/>
      <c r="E94" s="20"/>
      <c r="F94" s="30"/>
      <c r="G94" s="27" t="str">
        <f ca="1">IF(ISBLANK(Table1[[#This Row],[Due Date]]),"", Table1[[#This Row],[Due Date]]-TODAY())</f>
        <v/>
      </c>
      <c r="H94" s="22"/>
      <c r="I94" s="31"/>
    </row>
    <row r="95" spans="2:9" s="7" customFormat="1" ht="30" customHeight="1">
      <c r="B95" s="29" t="b">
        <v>0</v>
      </c>
      <c r="C95" s="22"/>
      <c r="D95" s="22"/>
      <c r="E95" s="20"/>
      <c r="F95" s="30"/>
      <c r="G95" s="27" t="str">
        <f ca="1">IF(ISBLANK(Table1[[#This Row],[Due Date]]),"", Table1[[#This Row],[Due Date]]-TODAY())</f>
        <v/>
      </c>
      <c r="H95" s="22"/>
      <c r="I95" s="31"/>
    </row>
    <row r="96" spans="2:9" s="7" customFormat="1" ht="30" customHeight="1">
      <c r="B96" s="29" t="b">
        <v>0</v>
      </c>
      <c r="C96" s="22"/>
      <c r="D96" s="22"/>
      <c r="E96" s="20"/>
      <c r="F96" s="30"/>
      <c r="G96" s="27" t="str">
        <f ca="1">IF(ISBLANK(Table1[[#This Row],[Due Date]]),"", Table1[[#This Row],[Due Date]]-TODAY())</f>
        <v/>
      </c>
      <c r="H96" s="22"/>
      <c r="I96" s="31"/>
    </row>
    <row r="97" spans="2:9" s="7" customFormat="1" ht="30" customHeight="1">
      <c r="B97" s="29" t="b">
        <v>0</v>
      </c>
      <c r="C97" s="22"/>
      <c r="D97" s="22"/>
      <c r="E97" s="20"/>
      <c r="F97" s="30"/>
      <c r="G97" s="27" t="str">
        <f ca="1">IF(ISBLANK(Table1[[#This Row],[Due Date]]),"", Table1[[#This Row],[Due Date]]-TODAY())</f>
        <v/>
      </c>
      <c r="H97" s="22"/>
      <c r="I97" s="31"/>
    </row>
    <row r="98" spans="2:9" s="7" customFormat="1" ht="30" customHeight="1">
      <c r="B98" s="29" t="b">
        <v>0</v>
      </c>
      <c r="C98" s="22"/>
      <c r="D98" s="22"/>
      <c r="E98" s="20"/>
      <c r="F98" s="30"/>
      <c r="G98" s="27" t="str">
        <f ca="1">IF(ISBLANK(Table1[[#This Row],[Due Date]]),"", Table1[[#This Row],[Due Date]]-TODAY())</f>
        <v/>
      </c>
      <c r="H98" s="22"/>
      <c r="I98" s="31"/>
    </row>
    <row r="99" spans="2:9" s="7" customFormat="1" ht="30" customHeight="1">
      <c r="B99" s="29" t="b">
        <v>0</v>
      </c>
      <c r="C99" s="22"/>
      <c r="D99" s="22"/>
      <c r="E99" s="20"/>
      <c r="F99" s="30"/>
      <c r="G99" s="27" t="str">
        <f ca="1">IF(ISBLANK(Table1[[#This Row],[Due Date]]),"", Table1[[#This Row],[Due Date]]-TODAY())</f>
        <v/>
      </c>
      <c r="H99" s="22"/>
      <c r="I99" s="31"/>
    </row>
    <row r="100" spans="2:9" s="7" customFormat="1" ht="30" customHeight="1">
      <c r="B100" s="29" t="b">
        <v>0</v>
      </c>
      <c r="C100" s="22"/>
      <c r="D100" s="22"/>
      <c r="E100" s="20"/>
      <c r="F100" s="30"/>
      <c r="G100" s="27" t="str">
        <f ca="1">IF(ISBLANK(Table1[[#This Row],[Due Date]]),"", Table1[[#This Row],[Due Date]]-TODAY())</f>
        <v/>
      </c>
      <c r="H100" s="22"/>
      <c r="I100" s="31"/>
    </row>
    <row r="101" spans="2:9" s="7" customFormat="1" ht="30" customHeight="1">
      <c r="B101" s="29" t="b">
        <v>0</v>
      </c>
      <c r="C101" s="22"/>
      <c r="D101" s="22"/>
      <c r="E101" s="20"/>
      <c r="F101" s="30"/>
      <c r="G101" s="27" t="str">
        <f ca="1">IF(ISBLANK(Table1[[#This Row],[Due Date]]),"", Table1[[#This Row],[Due Date]]-TODAY())</f>
        <v/>
      </c>
      <c r="H101" s="22"/>
      <c r="I101" s="31"/>
    </row>
    <row r="102" spans="2:9" s="7" customFormat="1" ht="30" customHeight="1">
      <c r="B102" s="29" t="b">
        <v>0</v>
      </c>
      <c r="C102" s="22"/>
      <c r="D102" s="22"/>
      <c r="E102" s="20"/>
      <c r="F102" s="30"/>
      <c r="G102" s="27" t="str">
        <f ca="1">IF(ISBLANK(Table1[[#This Row],[Due Date]]),"", Table1[[#This Row],[Due Date]]-TODAY())</f>
        <v/>
      </c>
      <c r="H102" s="22"/>
      <c r="I102" s="31"/>
    </row>
    <row r="103" spans="2:9" s="7" customFormat="1" ht="30" customHeight="1">
      <c r="B103" s="29" t="b">
        <v>0</v>
      </c>
      <c r="C103" s="22"/>
      <c r="D103" s="22"/>
      <c r="E103" s="20"/>
      <c r="F103" s="30"/>
      <c r="G103" s="27" t="str">
        <f ca="1">IF(ISBLANK(Table1[[#This Row],[Due Date]]),"", Table1[[#This Row],[Due Date]]-TODAY())</f>
        <v/>
      </c>
      <c r="H103" s="22"/>
      <c r="I103" s="31"/>
    </row>
    <row r="104" spans="2:9" s="7" customFormat="1" ht="30" customHeight="1">
      <c r="B104" s="29" t="b">
        <v>0</v>
      </c>
      <c r="C104" s="22"/>
      <c r="D104" s="22"/>
      <c r="E104" s="20"/>
      <c r="F104" s="30"/>
      <c r="G104" s="27" t="str">
        <f ca="1">IF(ISBLANK(Table1[[#This Row],[Due Date]]),"", Table1[[#This Row],[Due Date]]-TODAY())</f>
        <v/>
      </c>
      <c r="H104" s="22"/>
      <c r="I104" s="31"/>
    </row>
    <row r="105" spans="2:9" s="7" customFormat="1" ht="30" customHeight="1">
      <c r="B105" s="29" t="b">
        <v>0</v>
      </c>
      <c r="C105" s="22"/>
      <c r="D105" s="22"/>
      <c r="E105" s="20"/>
      <c r="F105" s="30"/>
      <c r="G105" s="27" t="str">
        <f ca="1">IF(ISBLANK(Table1[[#This Row],[Due Date]]),"", Table1[[#This Row],[Due Date]]-TODAY())</f>
        <v/>
      </c>
      <c r="H105" s="22"/>
      <c r="I105" s="31"/>
    </row>
    <row r="106" spans="2:9" s="7" customFormat="1" ht="30" customHeight="1">
      <c r="B106" s="29" t="b">
        <v>0</v>
      </c>
      <c r="C106" s="22"/>
      <c r="D106" s="22"/>
      <c r="E106" s="20"/>
      <c r="F106" s="30"/>
      <c r="G106" s="27" t="str">
        <f ca="1">IF(ISBLANK(Table1[[#This Row],[Due Date]]),"", Table1[[#This Row],[Due Date]]-TODAY())</f>
        <v/>
      </c>
      <c r="H106" s="22"/>
      <c r="I106" s="31"/>
    </row>
    <row r="107" spans="2:9" s="7" customFormat="1" ht="30" customHeight="1">
      <c r="B107" s="29" t="b">
        <v>0</v>
      </c>
      <c r="C107" s="22"/>
      <c r="D107" s="22"/>
      <c r="E107" s="20"/>
      <c r="F107" s="30"/>
      <c r="G107" s="27" t="str">
        <f ca="1">IF(ISBLANK(Table1[[#This Row],[Due Date]]),"", Table1[[#This Row],[Due Date]]-TODAY())</f>
        <v/>
      </c>
      <c r="H107" s="22"/>
      <c r="I107" s="31"/>
    </row>
    <row r="108" spans="2:9" s="7" customFormat="1" ht="30" customHeight="1">
      <c r="B108" s="29" t="b">
        <v>0</v>
      </c>
      <c r="C108" s="22"/>
      <c r="D108" s="22"/>
      <c r="E108" s="20"/>
      <c r="F108" s="30"/>
      <c r="G108" s="27" t="str">
        <f ca="1">IF(ISBLANK(Table1[[#This Row],[Due Date]]),"", Table1[[#This Row],[Due Date]]-TODAY())</f>
        <v/>
      </c>
      <c r="H108" s="22"/>
      <c r="I108" s="31"/>
    </row>
    <row r="109" spans="2:9" s="7" customFormat="1" ht="30" customHeight="1">
      <c r="B109" s="29" t="b">
        <v>0</v>
      </c>
      <c r="C109" s="22"/>
      <c r="D109" s="22"/>
      <c r="E109" s="20"/>
      <c r="F109" s="30"/>
      <c r="G109" s="27" t="str">
        <f ca="1">IF(ISBLANK(Table1[[#This Row],[Due Date]]),"", Table1[[#This Row],[Due Date]]-TODAY())</f>
        <v/>
      </c>
      <c r="H109" s="22"/>
      <c r="I109" s="31"/>
    </row>
    <row r="110" spans="2:9" s="7" customFormat="1" ht="30" customHeight="1">
      <c r="B110" s="29" t="b">
        <v>0</v>
      </c>
      <c r="C110" s="22"/>
      <c r="D110" s="22"/>
      <c r="E110" s="20"/>
      <c r="F110" s="30"/>
      <c r="G110" s="27" t="str">
        <f ca="1">IF(ISBLANK(Table1[[#This Row],[Due Date]]),"", Table1[[#This Row],[Due Date]]-TODAY())</f>
        <v/>
      </c>
      <c r="H110" s="22"/>
      <c r="I110" s="31"/>
    </row>
    <row r="111" spans="2:9" s="7" customFormat="1" ht="30" customHeight="1">
      <c r="B111" s="29" t="b">
        <v>0</v>
      </c>
      <c r="C111" s="22"/>
      <c r="D111" s="22"/>
      <c r="E111" s="20"/>
      <c r="F111" s="30"/>
      <c r="G111" s="27" t="str">
        <f ca="1">IF(ISBLANK(Table1[[#This Row],[Due Date]]),"", Table1[[#This Row],[Due Date]]-TODAY())</f>
        <v/>
      </c>
      <c r="H111" s="22"/>
      <c r="I111" s="31"/>
    </row>
    <row r="112" spans="2:9" s="7" customFormat="1" ht="30" customHeight="1">
      <c r="B112" s="29" t="b">
        <v>0</v>
      </c>
      <c r="C112" s="22"/>
      <c r="D112" s="22"/>
      <c r="E112" s="20"/>
      <c r="F112" s="30"/>
      <c r="G112" s="27" t="str">
        <f ca="1">IF(ISBLANK(Table1[[#This Row],[Due Date]]),"", Table1[[#This Row],[Due Date]]-TODAY())</f>
        <v/>
      </c>
      <c r="H112" s="22"/>
      <c r="I112" s="31"/>
    </row>
    <row r="113" spans="2:11" s="7" customFormat="1" ht="30" customHeight="1">
      <c r="B113" s="29" t="b">
        <v>0</v>
      </c>
      <c r="C113" s="22"/>
      <c r="D113" s="22"/>
      <c r="E113" s="20"/>
      <c r="F113" s="30"/>
      <c r="G113" s="27" t="str">
        <f ca="1">IF(ISBLANK(Table1[[#This Row],[Due Date]]),"", Table1[[#This Row],[Due Date]]-TODAY())</f>
        <v/>
      </c>
      <c r="H113" s="22"/>
      <c r="I113" s="31"/>
    </row>
    <row r="114" spans="2:11" s="7" customFormat="1" ht="30" customHeight="1">
      <c r="B114" s="29" t="b">
        <v>0</v>
      </c>
      <c r="C114" s="22"/>
      <c r="D114" s="22"/>
      <c r="E114" s="20"/>
      <c r="F114" s="30"/>
      <c r="G114" s="27" t="str">
        <f ca="1">IF(ISBLANK(Table1[[#This Row],[Due Date]]),"", Table1[[#This Row],[Due Date]]-TODAY())</f>
        <v/>
      </c>
      <c r="H114" s="22"/>
      <c r="I114" s="31"/>
    </row>
    <row r="115" spans="2:11" s="7" customFormat="1" ht="30" customHeight="1">
      <c r="B115" s="29" t="b">
        <v>0</v>
      </c>
      <c r="C115" s="22"/>
      <c r="D115" s="22"/>
      <c r="E115" s="20"/>
      <c r="F115" s="30"/>
      <c r="G115" s="27" t="str">
        <f ca="1">IF(ISBLANK(Table1[[#This Row],[Due Date]]),"", Table1[[#This Row],[Due Date]]-TODAY())</f>
        <v/>
      </c>
      <c r="H115" s="22"/>
      <c r="I115" s="31"/>
    </row>
    <row r="116" spans="2:11" s="7" customFormat="1" ht="30" customHeight="1">
      <c r="B116" s="29" t="b">
        <v>0</v>
      </c>
      <c r="C116" s="22"/>
      <c r="D116" s="22"/>
      <c r="E116" s="20"/>
      <c r="F116" s="30"/>
      <c r="G116" s="27" t="str">
        <f ca="1">IF(ISBLANK(Table1[[#This Row],[Due Date]]),"", Table1[[#This Row],[Due Date]]-TODAY())</f>
        <v/>
      </c>
      <c r="H116" s="22"/>
      <c r="I116" s="31"/>
    </row>
    <row r="117" spans="2:11" s="7" customFormat="1" ht="30" customHeight="1">
      <c r="B117" s="29" t="b">
        <v>0</v>
      </c>
      <c r="C117" s="22"/>
      <c r="D117" s="22"/>
      <c r="E117" s="20"/>
      <c r="F117" s="30"/>
      <c r="G117" s="27" t="str">
        <f ca="1">IF(ISBLANK(Table1[[#This Row],[Due Date]]),"", Table1[[#This Row],[Due Date]]-TODAY())</f>
        <v/>
      </c>
      <c r="H117" s="22"/>
      <c r="I117" s="31"/>
    </row>
    <row r="118" spans="2:11" s="7" customFormat="1" ht="30" customHeight="1">
      <c r="B118" s="29" t="b">
        <v>0</v>
      </c>
      <c r="C118" s="22"/>
      <c r="D118" s="22"/>
      <c r="E118" s="20"/>
      <c r="F118" s="30"/>
      <c r="G118" s="27" t="str">
        <f ca="1">IF(ISBLANK(Table1[[#This Row],[Due Date]]),"", Table1[[#This Row],[Due Date]]-TODAY())</f>
        <v/>
      </c>
      <c r="H118" s="22"/>
      <c r="I118" s="31"/>
    </row>
    <row r="119" spans="2:11" s="7" customFormat="1" ht="30" customHeight="1">
      <c r="B119" s="29" t="b">
        <v>0</v>
      </c>
      <c r="C119" s="22"/>
      <c r="D119" s="22"/>
      <c r="E119" s="20"/>
      <c r="F119" s="30"/>
      <c r="G119" s="27" t="str">
        <f ca="1">IF(ISBLANK(Table1[[#This Row],[Due Date]]),"", Table1[[#This Row],[Due Date]]-TODAY())</f>
        <v/>
      </c>
      <c r="H119" s="22"/>
      <c r="I119" s="31"/>
    </row>
    <row r="120" spans="2:11" s="7" customFormat="1" ht="30" customHeight="1">
      <c r="B120" s="24" t="b">
        <v>0</v>
      </c>
      <c r="C120" s="21"/>
      <c r="D120" s="21"/>
      <c r="E120" s="20"/>
      <c r="F120" s="28"/>
      <c r="G120" s="23" t="str">
        <f ca="1">IF(ISBLANK(Table1[[#This Row],[Due Date]]),"", Table1[[#This Row],[Due Date]]-TODAY())</f>
        <v/>
      </c>
      <c r="H120" s="21"/>
      <c r="I120" s="25"/>
    </row>
    <row r="121" spans="2:11" s="7" customFormat="1" ht="30" customHeight="1">
      <c r="B121" s="9"/>
      <c r="C121" s="10"/>
      <c r="D121" s="10"/>
      <c r="E121" s="10"/>
      <c r="F121" s="10"/>
      <c r="G121" s="9"/>
      <c r="H121" s="9"/>
      <c r="I121" s="9"/>
    </row>
    <row r="122" spans="2:11" s="7" customFormat="1" ht="30" customHeight="1">
      <c r="B122" s="9"/>
      <c r="C122" s="10"/>
      <c r="D122" s="10"/>
      <c r="E122" s="10"/>
      <c r="F122" s="10"/>
      <c r="G122" s="9"/>
      <c r="H122" s="9"/>
      <c r="I122" s="9"/>
      <c r="J122" s="9"/>
      <c r="K122" s="9"/>
    </row>
    <row r="123" spans="2:11" s="7" customFormat="1" ht="30" customHeight="1">
      <c r="B123" s="9"/>
      <c r="C123" s="10"/>
      <c r="D123" s="10"/>
      <c r="E123" s="10"/>
      <c r="F123" s="10"/>
      <c r="G123" s="9"/>
      <c r="H123" s="9"/>
      <c r="I123" s="9"/>
      <c r="J123" s="9"/>
      <c r="K123" s="9"/>
    </row>
    <row r="124" spans="2:11" s="7" customFormat="1" ht="30" customHeight="1">
      <c r="B124" s="9"/>
      <c r="C124" s="10"/>
      <c r="D124" s="10"/>
      <c r="E124" s="10"/>
      <c r="F124" s="10"/>
      <c r="G124" s="9"/>
      <c r="H124" s="9"/>
      <c r="I124" s="9"/>
      <c r="J124" s="9"/>
      <c r="K124" s="9"/>
    </row>
    <row r="125" spans="2:11" s="7" customFormat="1" ht="30" customHeight="1">
      <c r="B125" s="9"/>
      <c r="C125" s="10"/>
      <c r="D125" s="10"/>
      <c r="E125" s="10"/>
      <c r="F125" s="10"/>
      <c r="G125" s="9"/>
      <c r="H125" s="9"/>
      <c r="I125" s="9"/>
      <c r="J125" s="9"/>
      <c r="K125" s="9"/>
    </row>
    <row r="126" spans="2:11" s="7" customFormat="1" ht="30" customHeight="1">
      <c r="B126" s="9"/>
      <c r="C126" s="10"/>
      <c r="D126" s="10"/>
      <c r="E126" s="10"/>
      <c r="F126" s="10"/>
      <c r="G126" s="9"/>
      <c r="H126" s="9"/>
      <c r="I126" s="9"/>
      <c r="J126" s="9"/>
      <c r="K126" s="9"/>
    </row>
    <row r="127" spans="2:11" s="7" customFormat="1" ht="30" customHeight="1">
      <c r="B127" s="9"/>
      <c r="C127" s="10"/>
      <c r="D127" s="10"/>
      <c r="E127" s="10"/>
      <c r="F127" s="10"/>
      <c r="G127" s="9"/>
      <c r="H127" s="9"/>
      <c r="I127" s="9"/>
      <c r="J127" s="9"/>
      <c r="K127" s="9"/>
    </row>
    <row r="128" spans="2:11" s="7" customFormat="1" ht="30" customHeight="1">
      <c r="B128" s="9"/>
      <c r="C128" s="10"/>
      <c r="D128" s="10"/>
      <c r="E128" s="10"/>
      <c r="F128" s="10"/>
      <c r="G128" s="9"/>
      <c r="H128" s="9"/>
      <c r="I128" s="9"/>
      <c r="J128" s="9"/>
      <c r="K128" s="9"/>
    </row>
    <row r="129" spans="2:11" s="7" customFormat="1" ht="30" customHeight="1">
      <c r="B129" s="9"/>
      <c r="C129" s="10"/>
      <c r="D129" s="10"/>
      <c r="E129" s="10"/>
      <c r="F129" s="10"/>
      <c r="G129" s="9"/>
      <c r="H129" s="9"/>
      <c r="I129" s="9"/>
      <c r="J129" s="9"/>
      <c r="K129" s="9"/>
    </row>
    <row r="130" spans="2:11" s="7" customFormat="1" ht="30" customHeight="1">
      <c r="B130" s="9"/>
      <c r="C130" s="10"/>
      <c r="D130" s="10"/>
      <c r="E130" s="10"/>
      <c r="F130" s="10"/>
      <c r="G130" s="9"/>
      <c r="H130" s="9"/>
      <c r="I130" s="9"/>
      <c r="J130" s="9"/>
      <c r="K130" s="9"/>
    </row>
  </sheetData>
  <mergeCells count="1">
    <mergeCell ref="B2:C3"/>
  </mergeCells>
  <conditionalFormatting sqref="B20:I120">
    <cfRule type="expression" dxfId="10" priority="1">
      <formula>$B20=TRUE</formula>
    </cfRule>
  </conditionalFormatting>
  <conditionalFormatting sqref="D20:D120">
    <cfRule type="cellIs" dxfId="9" priority="2" operator="equal">
      <formula>"Cadre"</formula>
    </cfRule>
    <cfRule type="cellIs" dxfId="8" priority="39" operator="equal">
      <formula>"Urgent"</formula>
    </cfRule>
    <cfRule type="cellIs" dxfId="7" priority="40" operator="equal">
      <formula>"High"</formula>
    </cfRule>
    <cfRule type="cellIs" dxfId="6" priority="41" operator="equal">
      <formula>"Medium"</formula>
    </cfRule>
    <cfRule type="cellIs" dxfId="5" priority="42" operator="equal">
      <formula>"Low"</formula>
    </cfRule>
  </conditionalFormatting>
  <conditionalFormatting sqref="E20:E120">
    <cfRule type="cellIs" dxfId="4" priority="34" operator="equal">
      <formula>"Complete"</formula>
    </cfRule>
    <cfRule type="cellIs" dxfId="3" priority="36" operator="equal">
      <formula>"Working"</formula>
    </cfRule>
    <cfRule type="cellIs" dxfId="2" priority="37" operator="equal">
      <formula>"Assigned"</formula>
    </cfRule>
    <cfRule type="cellIs" dxfId="1" priority="38" stopIfTrue="1" operator="equal">
      <formula>"Not Assigned"</formula>
    </cfRule>
  </conditionalFormatting>
  <conditionalFormatting sqref="F8:F13">
    <cfRule type="cellIs" dxfId="0" priority="6" operator="equal">
      <formula>"Not Started"</formula>
    </cfRule>
  </conditionalFormatting>
  <conditionalFormatting sqref="H20:H120">
    <cfRule type="colorScale" priority="280">
      <colorScale>
        <cfvo type="min"/>
        <cfvo type="max"/>
        <color theme="9" tint="0.79998168889431442"/>
        <color theme="9"/>
      </colorScale>
    </cfRule>
    <cfRule type="colorScale" priority="281">
      <colorScale>
        <cfvo type="min"/>
        <cfvo type="max"/>
        <color theme="9" tint="0.79998168889431442"/>
        <color theme="9"/>
      </colorScale>
    </cfRule>
  </conditionalFormatting>
  <dataValidations count="2">
    <dataValidation type="decimal" allowBlank="1" showInputMessage="1" showErrorMessage="1" sqref="H20:H120" xr:uid="{29A8DC9B-8316-4C06-B5BE-D0E23ADAFABD}">
      <formula1>0</formula1>
      <formula2>100</formula2>
    </dataValidation>
    <dataValidation type="date" operator="notEqual" allowBlank="1" showInputMessage="1" showErrorMessage="1" sqref="F20:F120" xr:uid="{68B0F2CC-9321-4C90-8B1C-F0FBA2CDE5DF}">
      <formula1>44562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0E1154-20B8-4093-AE5C-21C7FF28B611}">
          <x14:formula1>
            <xm:f>'Controls - Task Tracker'!$D$2:$D$30</xm:f>
          </x14:formula1>
          <xm:sqref>E20:E120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39025-1ED2-4306-95D2-9B6F41E58135}">
  <dimension ref="A1:D13"/>
  <sheetViews>
    <sheetView workbookViewId="0">
      <selection activeCell="C8" sqref="C8"/>
    </sheetView>
  </sheetViews>
  <sheetFormatPr defaultRowHeight="13.8"/>
  <sheetData>
    <row r="1" spans="1:4">
      <c r="A1" s="44" t="s">
        <v>18</v>
      </c>
      <c r="B1" s="44" t="s">
        <v>27</v>
      </c>
      <c r="C1" s="44" t="s">
        <v>28</v>
      </c>
      <c r="D1" s="44" t="s">
        <v>29</v>
      </c>
    </row>
    <row r="2" spans="1:4" ht="41.4">
      <c r="A2" s="45" t="s">
        <v>30</v>
      </c>
      <c r="B2" s="46">
        <v>45915</v>
      </c>
      <c r="C2" s="46">
        <v>45931</v>
      </c>
      <c r="D2" s="45" t="s">
        <v>31</v>
      </c>
    </row>
    <row r="3" spans="1:4" ht="55.2">
      <c r="A3" s="45" t="s">
        <v>32</v>
      </c>
      <c r="B3" s="46">
        <v>45920</v>
      </c>
      <c r="C3" s="46">
        <v>45940</v>
      </c>
      <c r="D3" s="45" t="s">
        <v>31</v>
      </c>
    </row>
    <row r="4" spans="1:4" ht="55.2">
      <c r="A4" s="45" t="s">
        <v>33</v>
      </c>
      <c r="B4" s="46">
        <v>45931</v>
      </c>
      <c r="C4" s="46">
        <v>45950</v>
      </c>
      <c r="D4" s="45" t="s">
        <v>34</v>
      </c>
    </row>
    <row r="5" spans="1:4" ht="55.2">
      <c r="A5" s="45" t="s">
        <v>35</v>
      </c>
      <c r="B5" s="46">
        <v>45945</v>
      </c>
      <c r="C5" s="46">
        <v>45955</v>
      </c>
      <c r="D5" s="45" t="s">
        <v>34</v>
      </c>
    </row>
    <row r="6" spans="1:4" ht="55.2">
      <c r="A6" s="45" t="s">
        <v>36</v>
      </c>
      <c r="B6" s="46">
        <v>45950</v>
      </c>
      <c r="C6" s="46">
        <v>45971</v>
      </c>
      <c r="D6" s="45" t="s">
        <v>34</v>
      </c>
    </row>
    <row r="7" spans="1:4" ht="41.4">
      <c r="A7" s="45" t="s">
        <v>37</v>
      </c>
      <c r="B7" s="46">
        <v>45962</v>
      </c>
      <c r="C7" s="46">
        <v>45981</v>
      </c>
      <c r="D7" s="45" t="s">
        <v>38</v>
      </c>
    </row>
    <row r="8" spans="1:4" ht="41.4">
      <c r="A8" s="45" t="s">
        <v>39</v>
      </c>
      <c r="B8" s="46">
        <v>45976</v>
      </c>
      <c r="C8" s="46">
        <v>46001</v>
      </c>
      <c r="D8" s="45" t="s">
        <v>38</v>
      </c>
    </row>
    <row r="9" spans="1:4" ht="55.2">
      <c r="A9" s="45" t="s">
        <v>40</v>
      </c>
      <c r="B9" s="46">
        <v>46032</v>
      </c>
      <c r="C9" s="46">
        <v>46068</v>
      </c>
      <c r="D9" s="45" t="s">
        <v>41</v>
      </c>
    </row>
    <row r="10" spans="1:4" ht="55.2">
      <c r="A10" s="45" t="s">
        <v>42</v>
      </c>
      <c r="B10" s="46">
        <v>46054</v>
      </c>
      <c r="C10" s="46">
        <v>46082</v>
      </c>
      <c r="D10" s="45" t="s">
        <v>41</v>
      </c>
    </row>
    <row r="11" spans="1:4" ht="55.2">
      <c r="A11" s="45" t="s">
        <v>43</v>
      </c>
      <c r="B11" s="46">
        <v>46082</v>
      </c>
      <c r="C11" s="46">
        <v>46113</v>
      </c>
      <c r="D11" s="45" t="s">
        <v>44</v>
      </c>
    </row>
    <row r="12" spans="1:4" ht="41.4">
      <c r="A12" s="45" t="s">
        <v>45</v>
      </c>
      <c r="B12" s="46">
        <v>46096</v>
      </c>
      <c r="C12" s="46">
        <v>46122</v>
      </c>
      <c r="D12" s="45" t="s">
        <v>44</v>
      </c>
    </row>
    <row r="13" spans="1:4" ht="41.4">
      <c r="A13" s="45" t="s">
        <v>46</v>
      </c>
      <c r="B13" s="46">
        <v>46113</v>
      </c>
      <c r="C13" s="46">
        <v>46127</v>
      </c>
      <c r="D13" s="45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1B22-E72D-4179-AA7E-2DE013E30947}">
  <dimension ref="A1:D30"/>
  <sheetViews>
    <sheetView workbookViewId="0">
      <selection activeCell="B10" sqref="B10"/>
    </sheetView>
  </sheetViews>
  <sheetFormatPr defaultColWidth="10.59765625" defaultRowHeight="15" customHeight="1"/>
  <cols>
    <col min="1" max="16384" width="10.59765625" style="2"/>
  </cols>
  <sheetData>
    <row r="1" spans="1:4" ht="15" customHeight="1">
      <c r="A1" s="3" t="s">
        <v>5</v>
      </c>
      <c r="B1" s="4" t="s">
        <v>19</v>
      </c>
      <c r="C1" s="5" t="s">
        <v>25</v>
      </c>
      <c r="D1" s="6" t="s">
        <v>20</v>
      </c>
    </row>
    <row r="2" spans="1:4" ht="15" customHeight="1">
      <c r="A2" s="1" t="b">
        <v>1</v>
      </c>
      <c r="B2" s="1"/>
      <c r="C2" s="1" t="s">
        <v>4</v>
      </c>
      <c r="D2" s="1" t="s">
        <v>26</v>
      </c>
    </row>
    <row r="3" spans="1:4" ht="15" customHeight="1">
      <c r="A3" s="1" t="b">
        <v>0</v>
      </c>
      <c r="B3" s="1"/>
      <c r="C3" s="1" t="s">
        <v>7</v>
      </c>
      <c r="D3" s="1" t="s">
        <v>63</v>
      </c>
    </row>
    <row r="4" spans="1:4" ht="15" customHeight="1">
      <c r="A4" s="1"/>
      <c r="B4" s="1"/>
      <c r="C4" s="1" t="s">
        <v>10</v>
      </c>
      <c r="D4" s="1" t="s">
        <v>8</v>
      </c>
    </row>
    <row r="5" spans="1:4" ht="15" customHeight="1">
      <c r="A5" s="1"/>
      <c r="B5" s="1"/>
      <c r="C5" s="1" t="s">
        <v>12</v>
      </c>
      <c r="D5" s="1" t="s">
        <v>2</v>
      </c>
    </row>
    <row r="6" spans="1:4" ht="15" customHeight="1">
      <c r="A6" s="1"/>
      <c r="B6" s="1"/>
      <c r="C6" s="1" t="s">
        <v>14</v>
      </c>
      <c r="D6" s="1"/>
    </row>
    <row r="7" spans="1:4" ht="15" customHeight="1">
      <c r="A7" s="1"/>
      <c r="B7" s="1"/>
      <c r="C7" s="1"/>
      <c r="D7" s="1"/>
    </row>
    <row r="8" spans="1:4" ht="15" customHeight="1">
      <c r="A8" s="1"/>
      <c r="B8" s="1"/>
      <c r="C8" s="1"/>
      <c r="D8" s="1"/>
    </row>
    <row r="9" spans="1:4" ht="15" customHeight="1">
      <c r="A9" s="1"/>
      <c r="B9" s="1"/>
      <c r="C9" s="1"/>
      <c r="D9" s="1"/>
    </row>
    <row r="10" spans="1:4" ht="15" customHeight="1">
      <c r="A10" s="1"/>
      <c r="B10" s="1"/>
      <c r="C10" s="1"/>
      <c r="D10" s="1"/>
    </row>
    <row r="11" spans="1:4" ht="15" customHeight="1">
      <c r="A11" s="1"/>
      <c r="B11" s="1"/>
      <c r="C11" s="1"/>
      <c r="D11" s="1"/>
    </row>
    <row r="12" spans="1:4" ht="15" customHeight="1">
      <c r="A12" s="1"/>
      <c r="B12" s="1"/>
      <c r="C12" s="1"/>
      <c r="D12" s="1"/>
    </row>
    <row r="13" spans="1:4" ht="15" customHeight="1">
      <c r="A13" s="1"/>
      <c r="B13" s="1"/>
      <c r="C13" s="1"/>
      <c r="D13" s="1"/>
    </row>
    <row r="14" spans="1:4" ht="15" customHeight="1">
      <c r="A14" s="1"/>
      <c r="B14" s="1"/>
      <c r="C14" s="1"/>
      <c r="D14" s="1"/>
    </row>
    <row r="15" spans="1:4" ht="15" customHeight="1">
      <c r="A15" s="1"/>
      <c r="B15" s="1"/>
      <c r="C15" s="1"/>
      <c r="D15" s="1"/>
    </row>
    <row r="16" spans="1:4" ht="15" customHeight="1">
      <c r="A16" s="1"/>
      <c r="B16" s="1"/>
      <c r="C16" s="1"/>
      <c r="D16" s="1"/>
    </row>
    <row r="17" spans="1:4" ht="15" customHeight="1">
      <c r="A17" s="1"/>
      <c r="B17" s="1"/>
      <c r="C17" s="1"/>
      <c r="D17" s="1"/>
    </row>
    <row r="18" spans="1:4" ht="15" customHeight="1">
      <c r="A18" s="1"/>
      <c r="B18" s="1"/>
      <c r="C18" s="1"/>
      <c r="D18" s="1"/>
    </row>
    <row r="19" spans="1:4" ht="15" customHeight="1">
      <c r="A19" s="1"/>
      <c r="B19" s="1"/>
      <c r="C19" s="1"/>
      <c r="D19" s="1"/>
    </row>
    <row r="20" spans="1:4" ht="15" customHeight="1">
      <c r="A20" s="1"/>
      <c r="B20" s="1"/>
      <c r="C20" s="1"/>
      <c r="D20" s="1"/>
    </row>
    <row r="21" spans="1:4" ht="15" customHeight="1">
      <c r="A21" s="1"/>
      <c r="B21" s="1"/>
      <c r="C21" s="1"/>
      <c r="D21" s="1"/>
    </row>
    <row r="22" spans="1:4" ht="15" customHeight="1">
      <c r="A22" s="1"/>
      <c r="B22" s="1"/>
      <c r="C22" s="1"/>
      <c r="D22" s="1"/>
    </row>
    <row r="23" spans="1:4" ht="15" customHeight="1">
      <c r="A23" s="1"/>
      <c r="B23" s="1"/>
      <c r="C23" s="1"/>
      <c r="D23" s="1"/>
    </row>
    <row r="24" spans="1:4" ht="15" customHeight="1">
      <c r="A24" s="1"/>
      <c r="B24" s="1"/>
      <c r="C24" s="1"/>
      <c r="D24" s="1"/>
    </row>
    <row r="25" spans="1:4" ht="15" customHeight="1">
      <c r="A25" s="1"/>
      <c r="B25" s="1"/>
      <c r="C25" s="1"/>
      <c r="D25" s="1"/>
    </row>
    <row r="26" spans="1:4" ht="15" customHeight="1">
      <c r="A26" s="1"/>
      <c r="B26" s="1"/>
      <c r="C26" s="1"/>
      <c r="D26" s="1"/>
    </row>
    <row r="27" spans="1:4" ht="15" customHeight="1">
      <c r="A27" s="1"/>
      <c r="B27" s="1"/>
      <c r="C27" s="1"/>
      <c r="D27" s="1"/>
    </row>
    <row r="28" spans="1:4" ht="15" customHeight="1">
      <c r="A28" s="1"/>
      <c r="B28" s="1"/>
      <c r="C28" s="1"/>
      <c r="D28" s="1"/>
    </row>
    <row r="29" spans="1:4" ht="15" customHeight="1">
      <c r="A29" s="1"/>
      <c r="B29" s="1"/>
      <c r="C29" s="1"/>
      <c r="D29" s="1"/>
    </row>
    <row r="30" spans="1:4" ht="15" customHeight="1">
      <c r="A30" s="1"/>
      <c r="B30" s="1"/>
      <c r="C30" s="1"/>
      <c r="D30" s="1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FC6A966B272D4DA17523F5FCDC7F6C" ma:contentTypeVersion="19" ma:contentTypeDescription="Create a new document." ma:contentTypeScope="" ma:versionID="83b7f1704c509e60ac0a1fa7c5623515">
  <xsd:schema xmlns:xsd="http://www.w3.org/2001/XMLSchema" xmlns:xs="http://www.w3.org/2001/XMLSchema" xmlns:p="http://schemas.microsoft.com/office/2006/metadata/properties" xmlns:ns2="11f08f31-1aab-436e-a3c7-4004fc44d25f" xmlns:ns3="5867d61a-087d-4fc9-9c0b-a15ecc160fd2" xmlns:ns4="8be56858-bf0c-43d6-954d-be7222281d29" targetNamespace="http://schemas.microsoft.com/office/2006/metadata/properties" ma:root="true" ma:fieldsID="a3f78adccd903147ab1f3a86f23d8872" ns2:_="" ns3:_="" ns4:_="">
    <xsd:import namespace="11f08f31-1aab-436e-a3c7-4004fc44d25f"/>
    <xsd:import namespace="5867d61a-087d-4fc9-9c0b-a15ecc160fd2"/>
    <xsd:import namespace="8be56858-bf0c-43d6-954d-be7222281d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f08f31-1aab-436e-a3c7-4004fc44d2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7d61a-087d-4fc9-9c0b-a15ecc160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e7ed257-b896-4b55-84f7-2c4d79b9c3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56858-bf0c-43d6-954d-be7222281d29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db38e9f5-5558-40fb-a6d5-8271e89f750b}" ma:internalName="TaxCatchAll" ma:showField="CatchAllData" ma:web="11f08f31-1aab-436e-a3c7-4004fc44d2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e56858-bf0c-43d6-954d-be7222281d29" xsi:nil="true"/>
    <lcf76f155ced4ddcb4097134ff3c332f xmlns="5867d61a-087d-4fc9-9c0b-a15ecc160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A8A6EC-2DEE-4D0C-8C1B-C67C6379D8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27839A-4C98-40FA-ADAA-1F5CB3C3C4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f08f31-1aab-436e-a3c7-4004fc44d25f"/>
    <ds:schemaRef ds:uri="5867d61a-087d-4fc9-9c0b-a15ecc160fd2"/>
    <ds:schemaRef ds:uri="8be56858-bf0c-43d6-954d-be7222281d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E614C7-959E-49A5-953B-045DD6A6B64C}">
  <ds:schemaRefs>
    <ds:schemaRef ds:uri="11f08f31-1aab-436e-a3c7-4004fc44d25f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8be56858-bf0c-43d6-954d-be7222281d29"/>
    <ds:schemaRef ds:uri="5867d61a-087d-4fc9-9c0b-a15ecc160fd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Tracker</vt:lpstr>
      <vt:lpstr>Sheet1</vt:lpstr>
      <vt:lpstr>Controls - Task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Tyler Brunelle</cp:lastModifiedBy>
  <cp:revision/>
  <dcterms:created xsi:type="dcterms:W3CDTF">2025-04-29T16:23:04Z</dcterms:created>
  <dcterms:modified xsi:type="dcterms:W3CDTF">2025-11-24T22:14:06Z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0x010100A8FC6A966B272D4DA17523F5FCDC7F6C</vt:lpwstr>
  </property>
  <property fmtid="{D5CDD505-2E9C-101B-9397-08002B2CF9AE}" pid="3" name="MediaServiceImageTags">
    <vt:lpwstr/>
  </property>
</Properties>
</file>